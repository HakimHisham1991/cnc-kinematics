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ublic\Documents\CNC_KINEMATICS\"/>
    </mc:Choice>
  </mc:AlternateContent>
  <xr:revisionPtr revIDLastSave="0" documentId="13_ncr:1_{822DAA44-7E77-45CB-8174-B040A7B54EFF}" xr6:coauthVersionLast="47" xr6:coauthVersionMax="47" xr10:uidLastSave="{00000000-0000-0000-0000-000000000000}"/>
  <bookViews>
    <workbookView xWindow="-120" yWindow="-120" windowWidth="29040" windowHeight="15720" tabRatio="500" activeTab="2" xr2:uid="{00000000-000D-0000-FFFF-FFFF00000000}"/>
  </bookViews>
  <sheets>
    <sheet name="Theory" sheetId="1" r:id="rId1"/>
    <sheet name="Config" sheetId="2" r:id="rId2"/>
    <sheet name="Calculator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3" i="2" l="1"/>
  <c r="C22" i="2"/>
  <c r="C21" i="2"/>
  <c r="C20" i="2"/>
  <c r="AI29" i="3"/>
  <c r="AH29" i="3"/>
  <c r="AF29" i="3"/>
  <c r="AE29" i="3"/>
  <c r="AD29" i="3"/>
  <c r="AB29" i="3"/>
  <c r="AA29" i="3"/>
  <c r="U29" i="3"/>
  <c r="W29" i="3" s="1"/>
  <c r="S29" i="3"/>
  <c r="R29" i="3"/>
  <c r="P29" i="3"/>
  <c r="O29" i="3"/>
  <c r="N29" i="3"/>
  <c r="L29" i="3"/>
  <c r="K29" i="3"/>
  <c r="AI28" i="3"/>
  <c r="AH28" i="3"/>
  <c r="AF28" i="3"/>
  <c r="AE28" i="3"/>
  <c r="AD28" i="3"/>
  <c r="AB28" i="3"/>
  <c r="AA28" i="3"/>
  <c r="U28" i="3"/>
  <c r="Y28" i="3" s="1"/>
  <c r="S28" i="3"/>
  <c r="R28" i="3"/>
  <c r="P28" i="3"/>
  <c r="O28" i="3"/>
  <c r="N28" i="3"/>
  <c r="L28" i="3"/>
  <c r="K28" i="3"/>
  <c r="AI27" i="3"/>
  <c r="AH27" i="3"/>
  <c r="AF27" i="3"/>
  <c r="AE27" i="3"/>
  <c r="AD27" i="3"/>
  <c r="AB27" i="3"/>
  <c r="AA27" i="3"/>
  <c r="U27" i="3"/>
  <c r="Y27" i="3" s="1"/>
  <c r="S27" i="3"/>
  <c r="R27" i="3"/>
  <c r="P27" i="3"/>
  <c r="O27" i="3"/>
  <c r="N27" i="3"/>
  <c r="L27" i="3"/>
  <c r="K27" i="3"/>
  <c r="U26" i="3"/>
  <c r="Y26" i="3" s="1"/>
  <c r="L26" i="3"/>
  <c r="K26" i="3"/>
  <c r="V25" i="3"/>
  <c r="U25" i="3"/>
  <c r="L25" i="3"/>
  <c r="AB25" i="3" s="1"/>
  <c r="AI25" i="3" s="1"/>
  <c r="K25" i="3"/>
  <c r="R25" i="3" s="1"/>
  <c r="U24" i="3"/>
  <c r="X24" i="3" s="1"/>
  <c r="L24" i="3"/>
  <c r="K24" i="3"/>
  <c r="R24" i="3" s="1"/>
  <c r="U23" i="3"/>
  <c r="Y23" i="3" s="1"/>
  <c r="L23" i="3"/>
  <c r="K23" i="3"/>
  <c r="W22" i="3"/>
  <c r="V22" i="3"/>
  <c r="U22" i="3"/>
  <c r="Y22" i="3" s="1"/>
  <c r="L22" i="3"/>
  <c r="AB22" i="3" s="1"/>
  <c r="K22" i="3"/>
  <c r="AA22" i="3" s="1"/>
  <c r="AH22" i="3" s="1"/>
  <c r="U21" i="3"/>
  <c r="Y21" i="3" s="1"/>
  <c r="L21" i="3"/>
  <c r="S21" i="3" s="1"/>
  <c r="K21" i="3"/>
  <c r="R21" i="3" s="1"/>
  <c r="U20" i="3"/>
  <c r="W20" i="3" s="1"/>
  <c r="L20" i="3"/>
  <c r="AB20" i="3" s="1"/>
  <c r="K20" i="3"/>
  <c r="AA20" i="3" s="1"/>
  <c r="AH20" i="3" s="1"/>
  <c r="X19" i="3"/>
  <c r="U19" i="3"/>
  <c r="L19" i="3"/>
  <c r="S19" i="3" s="1"/>
  <c r="K19" i="3"/>
  <c r="R19" i="3" s="1"/>
  <c r="Y18" i="3"/>
  <c r="X18" i="3"/>
  <c r="U18" i="3"/>
  <c r="W18" i="3" s="1"/>
  <c r="L18" i="3"/>
  <c r="S18" i="3" s="1"/>
  <c r="K18" i="3"/>
  <c r="R18" i="3" s="1"/>
  <c r="U17" i="3"/>
  <c r="Y17" i="3" s="1"/>
  <c r="L17" i="3"/>
  <c r="S17" i="3" s="1"/>
  <c r="K17" i="3"/>
  <c r="R17" i="3" s="1"/>
  <c r="U16" i="3"/>
  <c r="Y16" i="3" s="1"/>
  <c r="L16" i="3"/>
  <c r="S16" i="3" s="1"/>
  <c r="K16" i="3"/>
  <c r="R16" i="3" s="1"/>
  <c r="Y15" i="3"/>
  <c r="U15" i="3"/>
  <c r="V15" i="3" s="1"/>
  <c r="L15" i="3"/>
  <c r="S15" i="3" s="1"/>
  <c r="K15" i="3"/>
  <c r="R15" i="3" s="1"/>
  <c r="U14" i="3"/>
  <c r="Y14" i="3" s="1"/>
  <c r="L14" i="3"/>
  <c r="S14" i="3" s="1"/>
  <c r="K14" i="3"/>
  <c r="AA14" i="3" s="1"/>
  <c r="AH14" i="3" s="1"/>
  <c r="Y13" i="3"/>
  <c r="X13" i="3"/>
  <c r="W13" i="3"/>
  <c r="U13" i="3"/>
  <c r="V13" i="3" s="1"/>
  <c r="P13" i="3" s="1"/>
  <c r="L13" i="3"/>
  <c r="S13" i="3" s="1"/>
  <c r="K13" i="3"/>
  <c r="AA13" i="3" s="1"/>
  <c r="AH13" i="3" s="1"/>
  <c r="U12" i="3"/>
  <c r="W12" i="3" s="1"/>
  <c r="L12" i="3"/>
  <c r="S12" i="3" s="1"/>
  <c r="K12" i="3"/>
  <c r="R12" i="3" s="1"/>
  <c r="Y11" i="3"/>
  <c r="X11" i="3"/>
  <c r="W11" i="3"/>
  <c r="V11" i="3"/>
  <c r="U11" i="3"/>
  <c r="L11" i="3"/>
  <c r="AB11" i="3" s="1"/>
  <c r="AI11" i="3" s="1"/>
  <c r="K11" i="3"/>
  <c r="U10" i="3"/>
  <c r="Y10" i="3" s="1"/>
  <c r="L10" i="3"/>
  <c r="AB10" i="3" s="1"/>
  <c r="AI10" i="3" s="1"/>
  <c r="K10" i="3"/>
  <c r="R10" i="3" s="1"/>
  <c r="U9" i="3"/>
  <c r="V9" i="3" s="1"/>
  <c r="L9" i="3"/>
  <c r="S9" i="3" s="1"/>
  <c r="K9" i="3"/>
  <c r="R9" i="3" s="1"/>
  <c r="U8" i="3"/>
  <c r="V8" i="3" s="1"/>
  <c r="L8" i="3"/>
  <c r="AB8" i="3" s="1"/>
  <c r="AI8" i="3" s="1"/>
  <c r="K8" i="3"/>
  <c r="AA8" i="3" s="1"/>
  <c r="AH8" i="3" s="1"/>
  <c r="U7" i="3"/>
  <c r="Y7" i="3" s="1"/>
  <c r="L7" i="3"/>
  <c r="S7" i="3" s="1"/>
  <c r="K7" i="3"/>
  <c r="AA7" i="3" s="1"/>
  <c r="AH7" i="3" s="1"/>
  <c r="U6" i="3"/>
  <c r="W6" i="3" s="1"/>
  <c r="R6" i="3"/>
  <c r="L6" i="3"/>
  <c r="S6" i="3" s="1"/>
  <c r="K6" i="3"/>
  <c r="U5" i="3"/>
  <c r="Y5" i="3" s="1"/>
  <c r="R5" i="3"/>
  <c r="L5" i="3"/>
  <c r="S5" i="3" s="1"/>
  <c r="K5" i="3"/>
  <c r="B2" i="3"/>
  <c r="V12" i="3" l="1"/>
  <c r="X17" i="3"/>
  <c r="V26" i="3"/>
  <c r="X21" i="3"/>
  <c r="AA23" i="3"/>
  <c r="AH23" i="3" s="1"/>
  <c r="V21" i="3"/>
  <c r="N21" i="3" s="1"/>
  <c r="X26" i="3"/>
  <c r="X8" i="3"/>
  <c r="X22" i="3"/>
  <c r="O22" i="3" s="1"/>
  <c r="Y8" i="3"/>
  <c r="V18" i="3"/>
  <c r="O18" i="3" s="1"/>
  <c r="AB23" i="3"/>
  <c r="AI23" i="3" s="1"/>
  <c r="AB7" i="3"/>
  <c r="AI7" i="3" s="1"/>
  <c r="Y29" i="3"/>
  <c r="X16" i="3"/>
  <c r="X7" i="3"/>
  <c r="W26" i="3"/>
  <c r="P26" i="3" s="1"/>
  <c r="V24" i="3"/>
  <c r="O24" i="3" s="1"/>
  <c r="X23" i="3"/>
  <c r="X5" i="3"/>
  <c r="Y9" i="3"/>
  <c r="Y12" i="3"/>
  <c r="W8" i="3"/>
  <c r="AE8" i="3" s="1"/>
  <c r="X14" i="3"/>
  <c r="V20" i="3"/>
  <c r="AA10" i="3"/>
  <c r="AH10" i="3" s="1"/>
  <c r="X20" i="3"/>
  <c r="X12" i="3"/>
  <c r="W9" i="3"/>
  <c r="AA5" i="3"/>
  <c r="AH5" i="3" s="1"/>
  <c r="AB5" i="3"/>
  <c r="AI5" i="3" s="1"/>
  <c r="W10" i="3"/>
  <c r="X10" i="3"/>
  <c r="X6" i="3"/>
  <c r="Y6" i="3"/>
  <c r="AA11" i="3"/>
  <c r="AH11" i="3" s="1"/>
  <c r="X15" i="3"/>
  <c r="Y20" i="3"/>
  <c r="X29" i="3"/>
  <c r="X9" i="3"/>
  <c r="AA26" i="3"/>
  <c r="AH26" i="3" s="1"/>
  <c r="W21" i="3"/>
  <c r="P21" i="3" s="1"/>
  <c r="AA6" i="3"/>
  <c r="AH6" i="3" s="1"/>
  <c r="AB6" i="3"/>
  <c r="AI6" i="3" s="1"/>
  <c r="AB26" i="3"/>
  <c r="AE26" i="3" s="1"/>
  <c r="AD8" i="3"/>
  <c r="N8" i="3"/>
  <c r="O8" i="3"/>
  <c r="P9" i="3"/>
  <c r="N9" i="3"/>
  <c r="O9" i="3"/>
  <c r="AD22" i="3"/>
  <c r="AI22" i="3"/>
  <c r="AI20" i="3"/>
  <c r="W15" i="3"/>
  <c r="N15" i="3" s="1"/>
  <c r="S24" i="3"/>
  <c r="W24" i="3"/>
  <c r="P24" i="3" s="1"/>
  <c r="V27" i="3"/>
  <c r="W27" i="3"/>
  <c r="AA9" i="3"/>
  <c r="AH9" i="3" s="1"/>
  <c r="O11" i="3"/>
  <c r="R8" i="3"/>
  <c r="AB12" i="3"/>
  <c r="S8" i="3"/>
  <c r="AB15" i="3"/>
  <c r="AI15" i="3" s="1"/>
  <c r="AA18" i="3"/>
  <c r="AH18" i="3" s="1"/>
  <c r="X27" i="3"/>
  <c r="N12" i="3"/>
  <c r="N11" i="3"/>
  <c r="AB9" i="3"/>
  <c r="AI9" i="3" s="1"/>
  <c r="AA12" i="3"/>
  <c r="AH12" i="3" s="1"/>
  <c r="P11" i="3"/>
  <c r="AA15" i="3"/>
  <c r="AH15" i="3" s="1"/>
  <c r="R11" i="3"/>
  <c r="V5" i="3"/>
  <c r="S11" i="3"/>
  <c r="R14" i="3"/>
  <c r="P17" i="3"/>
  <c r="AB18" i="3"/>
  <c r="AA21" i="3"/>
  <c r="AH21" i="3" s="1"/>
  <c r="N23" i="3"/>
  <c r="Y24" i="3"/>
  <c r="W5" i="3"/>
  <c r="AB21" i="3"/>
  <c r="O23" i="3"/>
  <c r="AA24" i="3"/>
  <c r="AH24" i="3" s="1"/>
  <c r="N26" i="3"/>
  <c r="R20" i="3"/>
  <c r="AB24" i="3"/>
  <c r="AF24" i="3" s="1"/>
  <c r="O26" i="3"/>
  <c r="V14" i="3"/>
  <c r="AD14" i="3" s="1"/>
  <c r="S20" i="3"/>
  <c r="R23" i="3"/>
  <c r="W14" i="3"/>
  <c r="V17" i="3"/>
  <c r="S23" i="3"/>
  <c r="R26" i="3"/>
  <c r="W17" i="3"/>
  <c r="S26" i="3"/>
  <c r="V23" i="3"/>
  <c r="W23" i="3"/>
  <c r="V29" i="3"/>
  <c r="N13" i="3"/>
  <c r="R7" i="3"/>
  <c r="AD11" i="3"/>
  <c r="AB14" i="3"/>
  <c r="AI14" i="3" s="1"/>
  <c r="O16" i="3"/>
  <c r="AA17" i="3"/>
  <c r="AH17" i="3" s="1"/>
  <c r="N19" i="3"/>
  <c r="S10" i="3"/>
  <c r="R13" i="3"/>
  <c r="P16" i="3"/>
  <c r="O19" i="3"/>
  <c r="V7" i="3"/>
  <c r="AF7" i="3" s="1"/>
  <c r="O13" i="3"/>
  <c r="AE11" i="3"/>
  <c r="AB17" i="3"/>
  <c r="AI17" i="3" s="1"/>
  <c r="N22" i="3"/>
  <c r="W7" i="3"/>
  <c r="V10" i="3"/>
  <c r="R22" i="3"/>
  <c r="V16" i="3"/>
  <c r="S22" i="3"/>
  <c r="W16" i="3"/>
  <c r="AE16" i="3" s="1"/>
  <c r="V19" i="3"/>
  <c r="AD19" i="3" s="1"/>
  <c r="S25" i="3"/>
  <c r="W19" i="3"/>
  <c r="W25" i="3"/>
  <c r="AF25" i="3" s="1"/>
  <c r="V28" i="3"/>
  <c r="O12" i="3"/>
  <c r="X25" i="3"/>
  <c r="W28" i="3"/>
  <c r="V6" i="3"/>
  <c r="P18" i="3"/>
  <c r="AB19" i="3"/>
  <c r="AI19" i="3" s="1"/>
  <c r="Y25" i="3"/>
  <c r="X28" i="3"/>
  <c r="AB13" i="3"/>
  <c r="AI13" i="3" s="1"/>
  <c r="O15" i="3"/>
  <c r="AA16" i="3"/>
  <c r="AH16" i="3" s="1"/>
  <c r="N18" i="3"/>
  <c r="Y19" i="3"/>
  <c r="AB16" i="3"/>
  <c r="AI16" i="3" s="1"/>
  <c r="AA19" i="3"/>
  <c r="AH19" i="3" s="1"/>
  <c r="AA25" i="3"/>
  <c r="AH25" i="3" s="1"/>
  <c r="AF8" i="3" l="1"/>
  <c r="P20" i="3"/>
  <c r="AD26" i="3"/>
  <c r="AI26" i="3"/>
  <c r="AE17" i="3"/>
  <c r="AF11" i="3"/>
  <c r="O20" i="3"/>
  <c r="AF26" i="3"/>
  <c r="AF19" i="3"/>
  <c r="AE10" i="3"/>
  <c r="AF16" i="3"/>
  <c r="AD18" i="3"/>
  <c r="P8" i="3"/>
  <c r="AF20" i="3"/>
  <c r="N20" i="3"/>
  <c r="O21" i="3"/>
  <c r="AF22" i="3"/>
  <c r="AD13" i="3"/>
  <c r="AE20" i="3"/>
  <c r="AF5" i="3"/>
  <c r="AD20" i="3"/>
  <c r="AF13" i="3"/>
  <c r="P22" i="3"/>
  <c r="AE22" i="3"/>
  <c r="P15" i="3"/>
  <c r="P12" i="3"/>
  <c r="N7" i="3"/>
  <c r="AD7" i="3"/>
  <c r="P7" i="3"/>
  <c r="O7" i="3"/>
  <c r="AI12" i="3"/>
  <c r="AD12" i="3"/>
  <c r="P25" i="3"/>
  <c r="AE23" i="3"/>
  <c r="AD23" i="3"/>
  <c r="P23" i="3"/>
  <c r="AI21" i="3"/>
  <c r="AE21" i="3"/>
  <c r="AD21" i="3"/>
  <c r="AF12" i="3"/>
  <c r="AE24" i="3"/>
  <c r="AE25" i="3"/>
  <c r="AE19" i="3"/>
  <c r="AI24" i="3"/>
  <c r="AD24" i="3"/>
  <c r="AE7" i="3"/>
  <c r="AE15" i="3"/>
  <c r="O25" i="3"/>
  <c r="AD15" i="3"/>
  <c r="N24" i="3"/>
  <c r="AF17" i="3"/>
  <c r="O17" i="3"/>
  <c r="N17" i="3"/>
  <c r="N16" i="3"/>
  <c r="AI18" i="3"/>
  <c r="AF18" i="3"/>
  <c r="AE18" i="3"/>
  <c r="AF23" i="3"/>
  <c r="P10" i="3"/>
  <c r="O10" i="3"/>
  <c r="N10" i="3"/>
  <c r="AD25" i="3"/>
  <c r="AF21" i="3"/>
  <c r="AE14" i="3"/>
  <c r="AD10" i="3"/>
  <c r="AE12" i="3"/>
  <c r="AD9" i="3"/>
  <c r="N25" i="3"/>
  <c r="AF9" i="3"/>
  <c r="AE9" i="3"/>
  <c r="P19" i="3"/>
  <c r="AE5" i="3"/>
  <c r="AD5" i="3"/>
  <c r="P5" i="3"/>
  <c r="O5" i="3"/>
  <c r="N5" i="3"/>
  <c r="AF15" i="3"/>
  <c r="AD17" i="3"/>
  <c r="AF14" i="3"/>
  <c r="AD16" i="3"/>
  <c r="AE13" i="3"/>
  <c r="AF10" i="3"/>
  <c r="N6" i="3"/>
  <c r="O6" i="3"/>
  <c r="AF6" i="3"/>
  <c r="AE6" i="3"/>
  <c r="P6" i="3"/>
  <c r="AD6" i="3"/>
  <c r="P14" i="3"/>
  <c r="O14" i="3"/>
  <c r="N14" i="3"/>
</calcChain>
</file>

<file path=xl/sharedStrings.xml><?xml version="1.0" encoding="utf-8"?>
<sst xmlns="http://schemas.openxmlformats.org/spreadsheetml/2006/main" count="363" uniqueCount="320">
  <si>
    <t>Mazak VARIAXIS i-500  |  CLS → Machine Coordinates  |  Theory Reference</t>
  </si>
  <si>
    <t>MACHINE CONFIGURATION</t>
  </si>
  <si>
    <t>Table-Table  |  AC configuration  |  Mazak VARIAXIS i-500</t>
  </si>
  <si>
    <t>Rotation order</t>
  </si>
  <si>
    <t>C (inner, closest to workpiece)  →  A (outer, tilts table)</t>
  </si>
  <si>
    <t>A-axis</t>
  </si>
  <si>
    <t>Rotates around X-axis.  Positive A = table front tilts UP (toward back of machine).  Range: -120° to +30°</t>
  </si>
  <si>
    <t>C-axis</t>
  </si>
  <si>
    <t>Rotates around Z-axis.  Positive C = CCW when viewed from above.  Range: 360° continuous</t>
  </si>
  <si>
    <t>Home position</t>
  </si>
  <si>
    <t>A=0, C=0  →  table flat, spindle vertical, tool axis = (0, 0, 1)</t>
  </si>
  <si>
    <t>Pivot point</t>
  </si>
  <si>
    <t>Px = 0,  Py = 0,  Pz = 10 mm  (above table surface, set in Config sheet)</t>
  </si>
  <si>
    <t>Tool length</t>
  </si>
  <si>
    <t>Ignored — CLS is gauge point</t>
  </si>
  <si>
    <t>WHAT CLS PROVIDES</t>
  </si>
  <si>
    <t>x, y, z</t>
  </si>
  <si>
    <t>Tool tip position in WORKPIECE coordinates (mm)</t>
  </si>
  <si>
    <t>i, j, k</t>
  </si>
  <si>
    <t>Tool axis unit vector in WORKPIECE coordinates.  Vertical tool pointing up from part = (0, 0, 1)</t>
  </si>
  <si>
    <t>STEP 1 — ROTARY ANGLES</t>
  </si>
  <si>
    <t>Solve A and C from the tool axis vector (i, j, k)</t>
  </si>
  <si>
    <t>Forward relationship</t>
  </si>
  <si>
    <t>When table rotates by A then C, the tool axis in workpiece frame becomes:
  i = sin(A)·sin(C)
  j = sin(A)·cos(C)
  k = cos(A)</t>
  </si>
  <si>
    <t>Solve A</t>
  </si>
  <si>
    <t>A = ACOS( k )   gives 0° to 180°
Sign of A is determined by sign of j:
  j ≥ 0  →  A_mazak = +ACOS(k)    (tilting toward back, positive)
  j &lt; 0  →  A_mazak = −ACOS(k)    (tilting toward front, negative)</t>
  </si>
  <si>
    <t>Solve C</t>
  </si>
  <si>
    <t>C = ATAN2( i, j )   gives −180° to +180°
Note: ATAN2 in Excel = ATAN2(x, y) — Excel argument order is reversed vs math convention.
Excel formula: =DEGREES(ATAN2(j, i))</t>
  </si>
  <si>
    <t>Singularity</t>
  </si>
  <si>
    <t>When k=1 (vertical tool, A=0): i=j=0, C is undefined.  Output C=0 by convention.</t>
  </si>
  <si>
    <t>STEP 2 — LINEAR AXES</t>
  </si>
  <si>
    <t>Compute machine XYZ with RTCP OFF and pivot offset</t>
  </si>
  <si>
    <t>Concept</t>
  </si>
  <si>
    <t>The table physically rotates — so the post must back-calculate where the spindle must be to keep the tool tip at the correct workpiece point.</t>
  </si>
  <si>
    <t>Step 2a — Translate to pivot</t>
  </si>
  <si>
    <t>dx = x − Px
dy = y − Py
dz = z − Pz</t>
  </si>
  <si>
    <t>Step 2b — Inverse C rotation</t>
  </si>
  <si>
    <t>Rotate by −C (undo C table rotation):
  x1 =  dx·cos(C) + dy·sin(C)
  y1 = −dx·sin(C) + dy·cos(C)
  z1 =  dz</t>
  </si>
  <si>
    <t>Step 2c — Inverse A rotation</t>
  </si>
  <si>
    <t>Rotate by −A (undo A table rotation):
  x2 = x1
  y2 =  y1·cos(A) + z1·sin(A)
  z2 = −y1·sin(A) + z1·cos(A)</t>
  </si>
  <si>
    <t>Step 2d — Translate back</t>
  </si>
  <si>
    <t>Add pivot offset back:
  X_machine = x2 + Px
  Y_machine = y2 + Py
  Z_machine = z2 + Pz</t>
  </si>
  <si>
    <t>VERIFICATION — Vertical tool</t>
  </si>
  <si>
    <t>CLS: x=0, y=0, z=0, i=0, j=0, k=1
→ A=0°, C=0°
→ dx=0, dy=0, dz=−10
→ x1=0, y1=0, z1=−10
→ x2=0, y2=0, z2=−10
→ X=0, Y=0, Z=−10+10=0  ✓  (tool tip stays at origin)</t>
  </si>
  <si>
    <t>VERIFICATION — 90° tilt back</t>
  </si>
  <si>
    <t>CLS: x=0, y=0, z=0, i=0, j=1, k=0
→ A=+90°, C=0°
→ dx=0, dy=0, dz=−10
→ x1=0, y1=0, z1=−10 (C=0, no change)
→ x2=0, y2=0·cos90+(−10)·sin90=−10, z2=0·(−sin90)+(−10)·cos90=0
→ X=0, Y=−10+0=−10, Z=0+10=10  (tool tip displaced as expected by pivot)</t>
  </si>
  <si>
    <t>RTCP OFF — TWO INTERPRETATIONS</t>
  </si>
  <si>
    <t>Mode 1: Raw passthrough</t>
  </si>
  <si>
    <t>The post outputs rotary angles (A, C) and passes XYZ unchanged from CLS.
X_m = X_cls,  Y_m = Y_cls,  Z_m = Z_cls
This is what NX Post Builder actually outputs in standard rotary mode.
The pivot value in Post Builder has NO effect on G-code in this mode.</t>
  </si>
  <si>
    <t>Mode 2: Pivot compensation</t>
  </si>
  <si>
    <t>Full inverse kinematic calculation — the post computes corrected XYZ to account
for the physical rotation of the table about the pivot point.
Required only if the controller has NO built-in RTCP/TCPM (rare on modern machines).
Useful for: verification, collision checking, understanding physical axis travel.</t>
  </si>
  <si>
    <t>Why pivot in Post Builder has no effect</t>
  </si>
  <si>
    <t>NX's kinematic solver uses pivot only for simulation display.
RTCP ON → controller handles pivot internally (its own parameter, not from post).
RTCP OFF → post outputs raw angles + raw XYZ, no compensation applied.
Either way, the pivot value entered in Post Builder does not appear in G-code.</t>
  </si>
  <si>
    <t>DMG DMU 65 changes vs Mazak</t>
  </si>
  <si>
    <t>Same AC table-table kinematics and same math.
Only Config sheet changes:
  • A-axis max: +30° (Mazak) → +120° (DMU 65)
  • Py pivot: 0 (Mazak example) → +70 mm (DMU 65)
  • Pz pivot: 10 mm (Mazak example) → +70 mm (DMU 65)
All formulas in Calculator sheet are unchanged.</t>
  </si>
  <si>
    <t>BC TABLE-TABLE KINEMATICS</t>
  </si>
  <si>
    <t>Machine example</t>
  </si>
  <si>
    <t>DMG DMU 50 (3rd gen)  |  B-axis: -35° to +110°  |  C-axis: 360°
B rotates around Y-axis.  C rotates around Z-axis (inner).</t>
  </si>
  <si>
    <t>When table rotates by B (outer) then C (inner), tool axis in workpiece frame:
  i =  sin(B) · cos(C)
  j = -sin(B) · sin(C)
  k =  cos(B)
Derived from: R_C^T · R_B^T · (0,0,1)</t>
  </si>
  <si>
    <t>Solve B</t>
  </si>
  <si>
    <t>B = ACOS(k)   →  sign from sign of i:
  i ≥ 0  →  B positive (tilt toward +X)
  i &lt; 0  →  B negative
Singularity: i=0 and j=0 → B=0, C=0</t>
  </si>
  <si>
    <t>C = atan2(−j, i)
Excel formula: =DEGREES(ATAN2(I_cell, −J_cell))
Note: Excel ATAN2(x,y) = atan(y/x), so arguments are (i, −j)</t>
  </si>
  <si>
    <t>BC vs AC — key difference</t>
  </si>
  <si>
    <t>AC: B-rotation is around X → Y and Z mix
BC: B-rotation is around Y → X and Z mix, Y is decoupled
AC inverse rotation (X-axis):
  Xm = x1 + Px
  Ym = y1·cos(A) + z1·sin(A) + Py
  Zm = −y1·sin(A) + z1·cos(A) + Pz
BC inverse rotation (Y-axis):
  Xm = x1·cos(B) + z1·sin(B) + Px
  Ym = y1 + Py
  Zm = −x1·sin(B) + z1·cos(B) + Pz</t>
  </si>
  <si>
    <t>Verification — vertical tool</t>
  </si>
  <si>
    <t>CLS: i=0,j=0,k=1 → B=0, C=0
dx=0, dy=0, dz=−Pz
x1=0 (C=0), y1=0, z1=−Pz
Xm = 0·cos0+(−Pz)·sin0+Px = 0+Px  ✓
Ym = 0+Py  ✓
Zm = 0+(−Pz)·cos0+Pz = −Pz+Pz = 0  ✓</t>
  </si>
  <si>
    <t>Verification — B=+90° tilt</t>
  </si>
  <si>
    <t>CLS: i=1,j=0,k=0 → B=90°, C=0°
dx=0, dy=0, dz=−Pz
x1=0, y1=0, z1=−Pz  (C=0, no change)
Xm = 0·cos90+(−Pz)·sin90+Px = −Pz+Px
Ym = 0+Py  ✓ (Y unchanged for BC)
Zm = −0·sin90+(−Pz)·cos90+Pz = 0+Pz = Pz  (pivot height remains)  ✓</t>
  </si>
  <si>
    <t>BC HEAD-TABLE KINEMATICS</t>
  </si>
  <si>
    <t>Mazak Vortex i-630V (also INTEGREX i-630V)  |  B-axis (spindle head swivel): -30° to +120°  |  C-axis (rotary table): 360°
B rotates around Y-axis.  C rotates the WORKPIECE around Z-axis.</t>
  </si>
  <si>
    <t>Fundamental difference from table-table</t>
  </si>
  <si>
    <t>Table-table: BOTH rotations act on the workpiece. Tool axis is fixed in machine frame.
Head-table:  B rotates the SPINDLE (tool axis changes in machine frame).
             C rotates the TABLE (workpiece changes in machine frame).
These are INDEPENDENT kinematic chains — B and C are solved separately.</t>
  </si>
  <si>
    <t>Solve B from (i, j, k)</t>
  </si>
  <si>
    <t>B rotates the spindle around Y-axis. At B=0, spindle points down = (0,0,1) in workpiece CLS.
Forward: i = sin(B),  j = 0,  k = cos(B)
→  B = ATAN2(i, k)  [full quadrant, no sign ambiguity needed]
→  j should always = 0 for this machine. If j≠0 in your CLS, verify your post setup.
Excel: =DEGREES(ATAN2(K_cell, I_cell))  [Excel ATAN2(x,y)=atan(y/x) → use ATAN2(k,i)]</t>
  </si>
  <si>
    <t>C rotates the TABLE — it is an INDEPENDENT positional axis.
C is NOT derived from (i,j,k) because it does not affect the tool axis direction.
In practice: C is programmed explicitly in the G-code (e.g. C0., C90., C180.)
or driven by the CAM system as a separate rotary positioning move.
→ Calculator defaults C=0. Manually enter C in column K to simulate other positions.</t>
  </si>
  <si>
    <t>XYZ Mode 2 — Pivot compensation (head-table)</t>
  </si>
  <si>
    <t>Two effects to compensate:
1. C rotates the WORKPIECE: the workpiece point moves relative to MCS
   x_rot = x·cos(C) + y·sin(C) + Px
   y_rot = -x·sin(C) + y·cos(C) + Py
   z_rot = z + Pz
2. B swivels the SPINDLE HEAD: tool tip swings in XZ plane relative to B pivot
   X_m = x_rot + Pb·sin(B)
   Y_m = y_rot           (Y unaffected by B)
   Z_m = z_rot - Pb·(1 - cos(B))   (Z drops as B tilts)
Where Pb = distance from B-axis centre of rotation to spindle nose (Config F15).</t>
  </si>
  <si>
    <t>Verification — vertical tool, C=0</t>
  </si>
  <si>
    <t>CLS: i=0, j=0, k=1  →  B=ATAN2(0,1)=0°,  C=0°
x_rot=0+Px, y_rot=0+Py, z_rot=0+Pz
X_m = Px + Pb·sin(0) = Px  ✓
Y_m = Py  ✓
Z_m = Pz - Pb·(1-cos(0)) = Pz - 0 = Pz  ✓</t>
  </si>
  <si>
    <t>Verification — B=+90° tilt (i=1, k=0)</t>
  </si>
  <si>
    <t>CLS: i=1, j=0, k=0  →  B=ATAN2(1,0)=90°,  C=0°
x_rot=0+Px, y_rot=0+Py, z_rot=0+Pz  (C=0, no rotation)
X_m = Px + Pb·sin(90°) = Px + Pb
Y_m = Py  ✓
Z_m = Pz - Pb·(1-cos(90°)) = Pz - Pb  (spindle nose drops by Pb)  ✓</t>
  </si>
  <si>
    <t>Comparison: all 3 kinematic types in this workbook</t>
  </si>
  <si>
    <t>AC Table-Table:  A=ACOS(k)×SIGN(j)   C=ATAN2(i,j)    XYZ: inverse rotate X then Z
BC Table-Table:  B=ACOS(k)×SIGN(i)   C=ATAN2(-j,i)   XYZ: inverse rotate Y then Z
BC Head-Table:   B=ATAN2(i,k)         C=independent   XYZ: C rotates workpiece + B adds head offset</t>
  </si>
  <si>
    <t>BC HEAD-HEAD KINEMATICS</t>
  </si>
  <si>
    <t>Hartford Aero-426 (5BC series)  |  B-axis: ±100°  |  C-axis: ±240°
Fork-type head: C rotates the entire B+spindle assembly (outer).
B tilts the spindle within the C fork (inner).
WORKPIECE IS FIXED — the table never moves.</t>
  </si>
  <si>
    <t>C first (outer) → rotates the entire head assembly around Z-axis.
B second (inner) → tilts the spindle around Y-axis within the C-rotated frame.
Compare with table-table where C is inner (closest to workpiece):
Head-head reverses the nesting: C is OUTER, B is INNER.</t>
  </si>
  <si>
    <t>Apply C (outer) then B (inner) to spindle vector (0,0,1):
R_C · R_B · {0,0,1}:
  Step 1 — R_B · {0,0,1} = { sin(B), 0, cos(B) }
  Step 2 — R_C · { sin(B), 0, cos(B) }:
    i = sin(B)·cos(C)
    j = sin(B)·sin(C)
    k = cos(B)
This is IDENTICAL to BC table-table forward relationship!
The difference is in HOW B and C are physically implemented.</t>
  </si>
  <si>
    <t>B = ACOS(k)     range: 0° to 180°, physical ±100°
B is always ≥ 0 — C selects which direction the tilt faces.
No SIGN(i) or SIGN(j) needed. This is the key difference from BC table-table.
Singularity: k=1 → B=0, C=0.</t>
  </si>
  <si>
    <t>C = ATAN2(j, i)     range: ±240° for Hartford
Excel formula: =DEGREES(ATAN2(I_cell, J_cell))  [Excel ATAN2(x,y)=atan(y/x)]
Same formula as AC table-table C angle.
j ≠ 0 is valid and expected (unlike BC head-table where j should be 0).</t>
  </si>
  <si>
    <t>BC-HH vs BC-TT — why B formula differs</t>
  </si>
  <si>
    <t>BC Table-Table:  B = ACOS(k) × SIGN(i)
  → Sign of i tells us which way the table physically tilted.
  → B can be negative.
BC Head-Head:    B = ACOS(k)  [always positive]
  → The head can tilt in any direction via C.
  → B is the MAGNITUDE of tilt. C is the DIRECTION of tilt.
  → i and j together encode both angle and direction via C=ATAN2(j,i).</t>
  </si>
  <si>
    <t>XYZ Mode 2 — Pivot compensation (head-head)</t>
  </si>
  <si>
    <t>Workpiece is fixed — no table rotation to compensate.
Only the head pivot causes XYZ offset.
The head swings in the direction defined by C, by amount Pb·sin(B):
  X_m = x + Pb·sin(B)·cos(C)
  Y_m = y + Pb·sin(B)·sin(C)
  Z_m = z - Pb·(1 - cos(B))    [Z always drops when B tilts]
Where Pb = distance from B-axis centre to spindle nose (Config G16).</t>
  </si>
  <si>
    <t>i=0, j=0, k=1  →  B=ACOS(1)=0°,  C=0°
X_m = x + Pb·sin0·cos0 = x  ✓
Y_m = y + Pb·sin0·sin0 = y  ✓
Z_m = z - Pb·(1-cos0) = z - 0 = z  ✓</t>
  </si>
  <si>
    <t>Verification — B=90°, C=0° (tilt toward +X)</t>
  </si>
  <si>
    <t>i=1, j=0, k=0  →  B=ACOS(0)=90°,  C=ATAN2(0,1)=0°
X_m = x + Pb·sin90·cos0 = x + Pb  (head swings +X)  ✓
Y_m = y + Pb·sin90·sin0 = y  ✓
Z_m = z - Pb·(1-cos90) = z - Pb  (nose drops by Pb)  ✓</t>
  </si>
  <si>
    <t>Verification — B=90°, C=90° (tilt toward +Y)</t>
  </si>
  <si>
    <t>i=0, j=1, k=0  →  B=ACOS(0)=90°,  C=ATAN2(1,0)=90°
X_m = x + Pb·sin90·cos90 = x + 0 = x  ✓
Y_m = y + Pb·sin90·sin90 = y + Pb  (head swings +Y)  ✓
Z_m = z - Pb·(1-cos90) = z - Pb  ✓</t>
  </si>
  <si>
    <t>ALL 4 KINEMATIC TYPES SUMMARY</t>
  </si>
  <si>
    <t>AC Table-Table</t>
  </si>
  <si>
    <t>A=ACOS(k)×SIGN(j)  |  C=ATAN2(i,j)
XYZ: inverse rotate C then A. Workpiece rotates. A around X-axis.</t>
  </si>
  <si>
    <t>BC Table-Table</t>
  </si>
  <si>
    <t>B=ACOS(k)×SIGN(i)  |  C=ATAN2(-j,i)
XYZ: inverse rotate C then B. Workpiece rotates. B around Y-axis.</t>
  </si>
  <si>
    <t>BC Head-Table</t>
  </si>
  <si>
    <t>B=ATAN2(i,k)  |  C=independent (j should=0)
XYZ: C rotates workpiece coords + B adds head pivot offset.</t>
  </si>
  <si>
    <t>BC Head-Head</t>
  </si>
  <si>
    <t>B=ACOS(k) [always ≥0]  |  C=ATAN2(j,i)
XYZ: workpiece fixed. Mode 2 adds Pb·sin(B) in C direction.</t>
  </si>
  <si>
    <t>BC NUTATING 45° HEAD-TABLE KINEMATICS</t>
  </si>
  <si>
    <t>DMG DMC 80U duoBLOCK  |  B-axis: -30° to +150° (180° total)  |  C-axis: 360°
The B-axis rotation centerline is tilted 45° between Y and Z axes.
C rotates the table independently (same as standard BC head-table).
Workpiece sits on C-table. Spindle head carries the nutating B-axis.</t>
  </si>
  <si>
    <t>Why this is different</t>
  </si>
  <si>
    <t>Standard BC head-table (M4): B rotates around Y-axis (orthogonal).
Nutating head (M6): B rotates around an axis tilted α=45° from Z toward Y.
B-axis unit vector:  n = (0, sin(α), cos(α)) = (0, 1/√2, 1/√2)
A single B rotation produces simultaneous X, Y, and Z motion at the tool tip.
Standard Rx/Ry matrices cannot be used — requires Rodrigues rotation formula.</t>
  </si>
  <si>
    <t>Rodrigues rotation formula</t>
  </si>
  <si>
    <t>For rotation by β around unit axis n=(nx,ny,nz):
R = cos(β)·I + sin(β)·[n]× + (1−cos(β))·(n⊗n)
For n=(0, 1/√2, 1/√2):
R_B = [ cos(β)          −sin(β)/√2        sin(β)/√2      ]
      [ sin(β)/√2    (1+cos(β))/2      (1−cos(β))/2    ]
      [−sin(β)/√2    (1−cos(β))/2      (1+cos(β))/2    ]</t>
  </si>
  <si>
    <t>Apply R_B to spindle vector (0,0,1):
  i = sin(β)/√2              ←  always ≥ 0 when β ∈ [0°,180°]
  j = (1 − cos(β)) / 2       ←  always ≥ 0
  k = (1 + cos(β)) / 2       ←  always ∈ [0,1]
General form for any tilt angle α:
  i = sin(β)·sin(α)
  j = (1−cos(β))·sin(α)·cos(α)
  k = cos²(α)·(1−cos(β)) + cos(β)</t>
  </si>
  <si>
    <t>Solve B from (i,j,k)</t>
  </si>
  <si>
    <t>From the general k equation:
  k = cos²(α)·(1−cos(β)) + cos(β)
  k = 1 − sin²(α)·(1−cos(β))
  (1−cos(β)) = (1−k) / sin²(α)
  cos(β) = 1 − (1−k)/sin²(α)
At α=45°, sin²(α)=0.5:
  cos(β) = 1 − 2(1−k) = 2k − 1
  β = ACOS(2k − 1)
Sign of β: from sign of i  (since i=sin(β)·sin(α), always same sign as sin(β))
  i ≥ 0  →  β positive
  i &lt; 0  →  β negative
Excel: =IF(I=0,0, IF(I&gt;=0, DEGREES(ACOS(2*K-1)), -DEGREES(ACOS(2*K-1))))</t>
  </si>
  <si>
    <t>C = ATAN2(j, i)   [same formula as AC-TT and BC-HH]
Excel: =DEGREES(ATAN2(I_cell, J_cell))
Singularity: i=0 and j=0 (vertical tool, β=0) → C=0.</t>
  </si>
  <si>
    <t>XYZ Mode 2 — Pivot compensation (BC-NUT)</t>
  </si>
  <si>
    <t>C rotates workpiece (identical to standard BC head-table):
  x_rot = x·cos(C) + y·sin(C) + Px
  y_rot = −x·sin(C) + y·cos(C) + Py
  z_rot = z + Pz
B nutating head pivot offset (from Rodrigues applied to Pb along spindle):
  dX = Pb·sin(β)·sin(α)
  dY = Pb·(1−cos(β))·sin(α)·cos(α)
  dZ = −Pb·sin²(α)·(1−cos(β))    [always negative, Z drops]
Final:
  X_m = x_rot + dX
  Y_m = y_rot + dY
  Z_m = z_rot + dZ
At α=45°: dX=Pb·sin(β)/√2, dY=Pb·(1−cos(β))/2, dZ=−Pb·(1−cos(β))/2</t>
  </si>
  <si>
    <t>i=0, j=0, k=1  →  cos(β)=2(1)−1=1  →  β=0°,  C=0°
dX=Pb·0/√2=0, dY=Pb·(1−1)/2=0, dZ=−Pb·(1−1)/2=0
X_m=x, Y_m=y, Z_m=z  ✓</t>
  </si>
  <si>
    <t>Verification — β=90° tilt</t>
  </si>
  <si>
    <t>At β=90°: i=1/√2, j=0.5, k=0.5  →  cos(β)=0, ACOS(2·0.5−1)=ACOS(0)=90° ✓
C=ATAN2(0.5, 1/√2)=ATAN2(0.5, 0.707)=35.26°
dX=Pb·1·(1/√2)=Pb/√2
dY=Pb·(1−0)·(1/√2)·(1/√2)=Pb·0.5
dZ=−Pb·0.5·(1−0)=−Pb·0.5
Tool tip swings in XYZ as expected for 45° axis. ✓</t>
  </si>
  <si>
    <t>ALL KINEMATIC TYPES — COMPLETE SUMMARY</t>
  </si>
  <si>
    <t>AC Table-Table (M1,M2)</t>
  </si>
  <si>
    <t>A=ACOS(k)×SIGN(j)  |  C=ATAN2(i,j)  |  XYZ: inv-rotate C then A (around X). Workpiece rotates.</t>
  </si>
  <si>
    <t>BC Table-Table (M3)</t>
  </si>
  <si>
    <t>B=ACOS(k)×SIGN(i)  |  C=ATAN2(−j,i)  |  XYZ: inv-rotate C then B (around Y). Workpiece rotates.</t>
  </si>
  <si>
    <t>BC Head-Table orthogonal (M4)</t>
  </si>
  <si>
    <t>B=ATAN2(i,k)  |  C=0 (independent)  |  XYZ: C rotates workpiece + B adds head offset in XZ.</t>
  </si>
  <si>
    <t>BC Head-Head (M5)</t>
  </si>
  <si>
    <t>B=ACOS(k) [≥0]  |  C=ATAN2(j,i)  |  XYZ: workpiece fixed + Rodrigues in C direction.</t>
  </si>
  <si>
    <t>BC Nutating 45° Head-Table (M6)</t>
  </si>
  <si>
    <t>B=ACOS(2k−1)×SIGN(i)  |  C=ATAN2(j,i)  |  XYZ: C rotates workpiece + Rodrigues B offset (α=45°).
Key: cos(β)=2k−1 is unique to 45° tilt. For other α, use cos(β)=1−(1−k)/sin²(α).</t>
  </si>
  <si>
    <t>BC ARBITRARY TABLE-TABLE (BC-ARB) KINEMATICS</t>
  </si>
  <si>
    <t>DMG DMU 60 eVo  |  B-axis: −5° to +110°  |  C-axis: 360° unlimited continuous
B-axis unit vector: n = (0.584926, −0.573525, 0.573525)
Angles: 54.2° from +X, 125.0° from +Y, 55.0° from +Z
Configuration: Table-Table — both B and C act on the workpiece.
C is inner (closest to workpiece, rotates around Z), B is outer (arbitrary axis).</t>
  </si>
  <si>
    <t>Why this is the most general case</t>
  </si>
  <si>
    <t>All previous table-table machines (AC-TT, BC-TT) had B or A rotating around a
standard orthogonal axis (X or Y). Standard Rx / Ry matrices apply.
The DMU 60 eVo has B rotating around an arbitrary unit vector n=(nx,ny,nz).
No standard rotation matrix applies — Rodrigues rotation formula is required.
This is the most general 5-axis table-table kinematic possible.</t>
  </si>
  <si>
    <t>Key insight: C does NOT appear in (i,j,k)</t>
  </si>
  <si>
    <t>For table-table with C inner (around Z) and B outer (arbitrary):
  Tool axis = R_B^T · R_C^T · (0,0,1)
  But R_C^T · (0,0,1) = (0,0,1)  [C rotates around Z, Z-vector unchanged]
  So: (i,j,k) = R_B^T · (0,0,1)  — INDEPENDENT OF C!
B is solved entirely from (i,j,k) alone.
C is solved from the position equations (workpiece XY rotation).</t>
  </si>
  <si>
    <t>Rodrigues rotation for arbitrary B-axis</t>
  </si>
  <si>
    <t>n = (nx, ny, nz) = (0.584926, −0.573525, 0.573525)
R_B^T · (0,0,1)  [forward: tool axis in workpiece frame]:
  i = −sin(B)·ny + nx·nz·(1−cos(B))
  j =  sin(B)·nx + ny·nz·(1−cos(B))
  k =  nz²·(1−cos(B)) + cos(B)
Note the signs — this is R_B^T (back-rotation), NOT R_B.</t>
  </si>
  <si>
    <t>From the k equation:
  k = nz²·(1−cos(B)) + cos(B) = nz² + (1−nz²)·cos(B)
  cos(B) = (k − nz²) / (1 − nz²)         ← elegant closed form
  B_magnitude = ACOS((k − nz²) / (1 − nz²))
Sign determination — sign proxy:
  proxy = i·ny − j·nx = −sin(B)·(nx²+ny²) = −sin(B)·(1−nz²)
  proxy &lt; 0  →  sin(B) &gt; 0  →  B is POSITIVE
  proxy &gt; 0  →  sin(B) &lt; 0  →  B is NEGATIVE
  proxy = 0  →  B = 0 (singularity or vertical tool)
Excel: =IF(proxy&lt;=0, DEGREES(ACOS(cosB)), -DEGREES(ACOS(cosB)))</t>
  </si>
  <si>
    <t>Solve C from back-rotated tool vector</t>
  </si>
  <si>
    <t>After solving B, back-rotate (i,j,k) by −B around n using Rodrigues:
  dot = i·nx + j·ny + k·nz
  cross = n × (i,j,k) = (ny·k−nz·j, nz·i−nx·k, nx·j−ny·i)
  back_i = cos(B)·i − sin(B)·cross_x + (1−cos(B))·dot·nx
  back_j = cos(B)·j − sin(B)·cross_y + (1−cos(B))·dot·ny
  C = ATAN2(back_j, back_i)   [Excel convention]
The back-rotated vector removes the B contribution, leaving only the C rotation.</t>
  </si>
  <si>
    <t>Verification — vertical tool (B=0, C=any)</t>
  </si>
  <si>
    <t>i=0, j=0, k=1:
  cosB=(1−nz²)/(1−nz²)=1  →  B=ACOS(1)=0°  ✓
  proxy=0·ny−0·nx=0  →  singularity → B=0  ✓
  C=ATAN2(0,0)=0° (singularity, output 0 by convention)  ✓</t>
  </si>
  <si>
    <t>Verification — B=90° (from Python test)</t>
  </si>
  <si>
    <t>i=0.9090, j=0.2560, k=0.3289  (from R_B^T·(0,0,1) at B=90°, C=0°):
  cosB=(0.3289−0.3289)/0.6711=0  →  B=ACOS(0)=90°  ✓
  proxy=0.9090·(−0.5735)−0.2560·0.5849=−0.5212−0.1497=−0.6709&lt;0  →  B positive  ✓
  Back-rotate (0.909,0.256,0.329) by −90° around n → (0,0,1)  →  C=0°  ✓</t>
  </si>
  <si>
    <t>XYZ Mode 2 — Pivot compensation (BC-ARB table-table)</t>
  </si>
  <si>
    <t>Same structure as orthogonal table-table, but B rotation uses Rodrigues:
Step 1 — Translate to pivot:
  dx=x−Px,  dy=y−Py,  dz=z−Pz
Step 2 — Apply C rotation (inner, around Z):
  x1 = dx·cos(C)+dy·sin(C)
  y1 = −dx·sin(C)+dy·cos(C)
  z1 = dz
Step 3 — Apply B rotation (outer, Rodrigues around n):
  dot = x1·nx+y1·ny+z1·nz
  cross = n×(x1,y1,z1)
  xB = cos(B)·x1+sin(B)·cross_x+(1−cos(B))·dot·nx
  yB = cos(B)·y1+sin(B)·cross_y+(1−cos(B))·dot·ny
  zB = cos(B)·z1+sin(B)·cross_z+(1−cos(B))·dot·nz
Step 4 — Translate back:
  X_m=xB+Px,  Y_m=yB+Py,  Z_m=zB+Pz</t>
  </si>
  <si>
    <t>General formula — works for any B-axis vector</t>
  </si>
  <si>
    <t>The DMU 60 eVo formula generalises to ANY table-table machine with arbitrary B-axis.
Change n=(nx,ny,nz) in Config C15:C17 to adapt to a different machine.
Special cases recoverable from the general formula:
  n=(1,0,0) → nx=1,ny=nz=0 → reduces to standard AC-TT (A around X)
  n=(0,1,0) → ny=1,nx=nz=0 → reduces to standard BC-TT (B around Y)
Both verify: cosB=(k−0)/(1−0)=k → B=ACOS(k), sign from i or j as appropriate.</t>
  </si>
  <si>
    <t>COMPLETE KINEMATIC TYPES SUMMARY</t>
  </si>
  <si>
    <t>A=ACOS(k)×SIGN(j)  |  C=ATAN2(i,j)  |  Workpiece rotates (A around X, C around Z)</t>
  </si>
  <si>
    <t>B=ACOS(k)×SIGN(i)  |  C=ATAN2(−j,i)  |  Workpiece rotates (B around Y, C around Z)</t>
  </si>
  <si>
    <t>BC Head-Table (M4)</t>
  </si>
  <si>
    <t>B=ATAN2(i,k)  |  C=0 (independent)  |  B rotates spindle, C rotates table</t>
  </si>
  <si>
    <t>B=ACOS(k)[≥0]  |  C=ATAN2(j,i)  |  Workpiece fixed, both rotations in head</t>
  </si>
  <si>
    <t>BC Nutating 45° (M6)</t>
  </si>
  <si>
    <t>B=ACOS(2k−1)×SIGN(i)  |  C=ATAN2(j,i)  |  Head-table, B-axis tilted 45° from Z</t>
  </si>
  <si>
    <t>BC Arbitrary TT (M7)</t>
  </si>
  <si>
    <t>B=ACOS((k−nz²)/(1−nz²))×sign(proxy)  |  C=back-rotate  |  Table-table, arbitrary B-axis vector</t>
  </si>
  <si>
    <t>CORRECTIONS &amp; AUDIT NOTES</t>
  </si>
  <si>
    <t>M7 BC-ARB axis vector corrected</t>
  </si>
  <si>
    <t>PREVIOUS (wrong): n = (0.584926, −0.573525, 0.573525)
CORRECT (from Post Builder): n = (−0.584825, 0.573576, −0.573576)
The vectors are negated — same physical axis but OPPOSITE positive rotation direction.
Effect: B angles had correct magnitude but could give wrong sign for specific (i,j,k).
Config C15:C17 updated. Sign proxy rule (proxy&lt;0 → B positive) is UNCHANGED.</t>
  </si>
  <si>
    <t>M7 C angle: CANNOT be derived from (i,j,k)</t>
  </si>
  <si>
    <t>For table-table with C inner (around Z) and B outer (any axis):
  Tool axis = R_B^T · R_C^T · (0,0,1)
  R_C^T · (0,0,1) = (0,0,1)  — Z-vector is invariant under Z-rotation
  Therefore tool axis is INDEPENDENT of C.
Back-rotating (i,j,k) by R_B always recovers (0,0,1) — no C information.
C must be treated as an independent positional axis (like M4 BC-HT).
CORRECTED: M7 C formula now outputs 0. Enter actual C manually in column L.</t>
  </si>
  <si>
    <t>XYZ Mode 2 = actual G-code output</t>
  </si>
  <si>
    <t>CLARIFICATION: For table-table machines (M1-M3, M7), the G-code XYZ values
ARE the inverse kinematic positions — NOT the raw CLS xyz.
Verified: CLS(-86, -120.03, 22.34) with A=-90°, C=-180° gives:
  Mode 2 (Pz=0): Xm=86, Ym=-22.34, Zm=120.03 ✓ (matches G-code exactly)
  Mode 1 (raw): X=-86, Y=-120.03, Z=22.34 ✗ (does NOT match G-code)
MODE 2 is now the DEFAULT. Pz set to 0 for M1.</t>
  </si>
  <si>
    <t>C = +180° vs C = −180°</t>
  </si>
  <si>
    <t>Both are physically equivalent (same table position).
Our formula gives C = +180° for the test case; G-code shows C = −180°.
This is a branch selection convention. The machine accepts both.
To force negative branch when |C|=180: add IF(ABS(C)=180, -180, C) wrapper if needed.</t>
  </si>
  <si>
    <t>ALL AXIS VECTORS VERIFIED (from Post Builder)</t>
  </si>
  <si>
    <t>M1,M2 AC-TT: A = (1,0,0)  C = (0,0,1)  ✓
M3 BC-TT:    B = (0,1,0)  C = (0,0,1)  ✓
M4 BC-HT:    B = (0,1,0)  C = (0,0,1)  ✓
M5 BC-HH:    B = (0,1,0)  C = (0,0,1)  ✓
M6 BC-NUT:   B = (0, 0.707107, 0.707107)  C = (0,0,1)  ✓
M7 BC-ARB:   B = (−0.584825, 0.573576, −0.573576)  C = (0,0,1)  CORRECTED ✓</t>
  </si>
  <si>
    <t>Machine Configuration &amp; Parameters  —  5-Axis CLS Calculator</t>
  </si>
  <si>
    <t>MACHINE SELECTOR</t>
  </si>
  <si>
    <t>Selected Machine</t>
  </si>
  <si>
    <t>(1 to 7)</t>
  </si>
  <si>
    <t>Machine 1</t>
  </si>
  <si>
    <t>Mazak VARIAXIS i-500</t>
  </si>
  <si>
    <t>AC-TT</t>
  </si>
  <si>
    <t>Table-Table  |  A: -120/+30°  |  C: 360° unlimited</t>
  </si>
  <si>
    <t>Machine 2</t>
  </si>
  <si>
    <t>DMG DMU 65 monoBLOCK</t>
  </si>
  <si>
    <t>Table-Table  |  A: ±120°  |  C: 360° unlimited</t>
  </si>
  <si>
    <t>Machine 3</t>
  </si>
  <si>
    <t>DMG DMU 50 (3rd gen)</t>
  </si>
  <si>
    <t>BC-TT</t>
  </si>
  <si>
    <t>Table-Table  |  B: -5/+110°  |  C: 360° unlimited</t>
  </si>
  <si>
    <t>Machine 4</t>
  </si>
  <si>
    <t>Mazak Vortex i-630V</t>
  </si>
  <si>
    <t>BC-HT</t>
  </si>
  <si>
    <t>Head-Table   |  B: -30/+120°  |  C: 360° unlimited</t>
  </si>
  <si>
    <t>Machine 5</t>
  </si>
  <si>
    <t>Hartford Aero-426</t>
  </si>
  <si>
    <t>BC-HH</t>
  </si>
  <si>
    <t>Head-Head    |  B: ±110°  |  C: ±360°</t>
  </si>
  <si>
    <t>Machine 6</t>
  </si>
  <si>
    <t>DMG DMC 80U duoBLOCK</t>
  </si>
  <si>
    <t>BC-NUT</t>
  </si>
  <si>
    <t>Head-Table 45° Nutating  |  B: -30/+180°  |  C: 360° unlimited</t>
  </si>
  <si>
    <t>Machine 7</t>
  </si>
  <si>
    <t>DMG DMU 60 eVo</t>
  </si>
  <si>
    <t>BC-ARB</t>
  </si>
  <si>
    <t>Table-Table Arbitrary B-axis  |  B: -5/+180°  |  C: 360° unlimited</t>
  </si>
  <si>
    <t>B-AXIS UNIT VECTOR  (Machine 7 — DMU 60 eVo arbitrary B-axis)</t>
  </si>
  <si>
    <t>Component</t>
  </si>
  <si>
    <t>Value</t>
  </si>
  <si>
    <t>Note</t>
  </si>
  <si>
    <t>nx  (X component)</t>
  </si>
  <si>
    <t>Angle from +X axis = 54.2°</t>
  </si>
  <si>
    <t>ny  (Y component)</t>
  </si>
  <si>
    <t>Angle from +Y axis = 55.0°</t>
  </si>
  <si>
    <t>nz  (Z component)</t>
  </si>
  <si>
    <t>Angle from +Z axis = 125.0°</t>
  </si>
  <si>
    <t>DERIVED CONSTANTS  (auto-computed from nx, ny, nz above — do not edit)</t>
  </si>
  <si>
    <t>nz²</t>
  </si>
  <si>
    <t>0.328931  (nz squared)</t>
  </si>
  <si>
    <t>1 − nz²</t>
  </si>
  <si>
    <t>0.671069  (1 minus nz squared)</t>
  </si>
  <si>
    <t>nx·nz</t>
  </si>
  <si>
    <t>0.335470  (nx times nz)</t>
  </si>
  <si>
    <t>ny·nz</t>
  </si>
  <si>
    <t>-0.328931  (ny times nz)</t>
  </si>
  <si>
    <t>PIVOT POINT  (per machine — edit values below)</t>
  </si>
  <si>
    <t>Parameter</t>
  </si>
  <si>
    <t>M1
Mazak i-500</t>
  </si>
  <si>
    <t>M2
DMU65</t>
  </si>
  <si>
    <t>M3
DMU50</t>
  </si>
  <si>
    <t>M4
Vortex</t>
  </si>
  <si>
    <t>M5
Hartford</t>
  </si>
  <si>
    <t>M6
DMC80U</t>
  </si>
  <si>
    <t>M7
DMU60eVo</t>
  </si>
  <si>
    <t>Px  (mm)</t>
  </si>
  <si>
    <t>Py  (mm)</t>
  </si>
  <si>
    <t>Pz  (mm)</t>
  </si>
  <si>
    <t>Pb  (mm)
Head pivot (M4-7)</t>
  </si>
  <si>
    <t>AXIS LIMITS  (per machine — edit values below)</t>
  </si>
  <si>
    <t>1st Rotary min  (A or B°)</t>
  </si>
  <si>
    <t>1st Rotary max  (A or B°)</t>
  </si>
  <si>
    <t>C-axis min  (°)</t>
  </si>
  <si>
    <t>C-axis max  (°)</t>
  </si>
  <si>
    <t>C is unlimited continuous — set to ±999999 to effectively disable limit check. Adjust to your actual control soft limits if known.</t>
  </si>
  <si>
    <t>KINEMATIC TYPE SUMMARY</t>
  </si>
  <si>
    <t>Table-Table: A (tilt, around X) + C (rotate, around Z). Workpiece rotates.</t>
  </si>
  <si>
    <t>Table-Table: B (tilt, around Y) + C (rotate, around Z). Workpiece rotates.</t>
  </si>
  <si>
    <t>Head-Table: B swivels spindle (around Y). C rotates table independently.</t>
  </si>
  <si>
    <t>Head-Head: C rotates head (outer). B tilts spindle (inner). Workpiece FIXED.</t>
  </si>
  <si>
    <t>Head-Table 45° Nutating: B-axis tilted 45° from Z. Rodrigues rotation.</t>
  </si>
  <si>
    <t>Table-Table Arbitrary B: B rotates around n=(0.585,−0.574,0.574). C unlimited. Rodrigues.</t>
  </si>
  <si>
    <t>XYZ OUTPUT MODE</t>
  </si>
  <si>
    <t>XYZ Mode</t>
  </si>
  <si>
    <t>Mode 1</t>
  </si>
  <si>
    <t>Mode 2: Inverse kinematic XYZ — matches actual G-code output.</t>
  </si>
  <si>
    <t>Mode 2</t>
  </si>
  <si>
    <t>Mode 1: Raw passthrough (XYZ=CLS xyz) — does NOT match G-code.</t>
  </si>
  <si>
    <t>CELL REFERENCE MAP</t>
  </si>
  <si>
    <t>Selected machine     →  C4             (1 to 7)</t>
  </si>
  <si>
    <t>M7 B-axis vector     →  C15:C17        (nx, ny, nz)</t>
  </si>
  <si>
    <t>M7 derived constants →  C20:C23        (nz², 1-nz², nx·nz, ny·nz)</t>
  </si>
  <si>
    <t>Px/Py/Pz per machine →  C27:I29</t>
  </si>
  <si>
    <t>Pb (head pivot)      →  C30:I30</t>
  </si>
  <si>
    <t>Rot min/max          →  C34:I35</t>
  </si>
  <si>
    <t>C min/max            →  C36:I37</t>
  </si>
  <si>
    <t>XYZ Mode             →  C49</t>
  </si>
  <si>
    <t>CLS INPUT  (Workpiece Coordinates)</t>
  </si>
  <si>
    <t>ROTARY ANGLES</t>
  </si>
  <si>
    <t>MACHINE POSITION  (mm)</t>
  </si>
  <si>
    <t>LIMIT CHECK</t>
  </si>
  <si>
    <t>MACHINE POSITION CALCULATIONS</t>
  </si>
  <si>
    <t>2ND SOLUTION — ROTARY ANGLES</t>
  </si>
  <si>
    <t>2ND MACHINE POSITION  (mm)</t>
  </si>
  <si>
    <t>2ND LIMIT CHECK</t>
  </si>
  <si>
    <t>#</t>
  </si>
  <si>
    <t>OPERATION NAME</t>
  </si>
  <si>
    <t>X
(mm)</t>
  </si>
  <si>
    <t>Y
(mm)</t>
  </si>
  <si>
    <t>Z
(mm)</t>
  </si>
  <si>
    <t>I</t>
  </si>
  <si>
    <t>J</t>
  </si>
  <si>
    <t>K</t>
  </si>
  <si>
    <t>B or A
(deg)</t>
  </si>
  <si>
    <t>C
(deg)</t>
  </si>
  <si>
    <t>X_m
(mm)</t>
  </si>
  <si>
    <t>Y_m
(mm)</t>
  </si>
  <si>
    <t>Z_m
(mm)</t>
  </si>
  <si>
    <t>1st Rot
limit?</t>
  </si>
  <si>
    <t>HELPERS-1</t>
  </si>
  <si>
    <t>HELPERS-2</t>
  </si>
  <si>
    <t>HELPERS-3</t>
  </si>
  <si>
    <t>HELPERS-4</t>
  </si>
  <si>
    <t>HELPERS-5</t>
  </si>
  <si>
    <t>2nd Rot
(deg)</t>
  </si>
  <si>
    <t>2nd C
(deg)</t>
  </si>
  <si>
    <t>2nd X_m
(mm)</t>
  </si>
  <si>
    <t>2nd Y_m
(mm)</t>
  </si>
  <si>
    <t>2nd Z_m
(mm)</t>
  </si>
  <si>
    <t>2nd Rot
limit?</t>
  </si>
  <si>
    <t>2nd C
limit?</t>
  </si>
  <si>
    <t>001_FRONT</t>
  </si>
  <si>
    <t>002_RIGHT</t>
  </si>
  <si>
    <t>003_BACK</t>
  </si>
  <si>
    <t>004_LEFT</t>
  </si>
  <si>
    <t>005_FRONT_TOP</t>
  </si>
  <si>
    <t>006_FRONT_RIGHT</t>
  </si>
  <si>
    <t>007_RIGHT_TOP</t>
  </si>
  <si>
    <t>008_BACK_RIGHT</t>
  </si>
  <si>
    <t>009_BACK_TOP</t>
  </si>
  <si>
    <t>010_BACK_LEFT</t>
  </si>
  <si>
    <t>011_LEFT_TOP</t>
  </si>
  <si>
    <t>012_LEFT_RIGHT</t>
  </si>
  <si>
    <t>CLS → Machine Coordinates Calculator</t>
  </si>
  <si>
    <t>LEGEND:</t>
  </si>
  <si>
    <t>Green OK/Red</t>
  </si>
  <si>
    <t>Blue = CLS input</t>
  </si>
  <si>
    <t>Grey = computed</t>
  </si>
  <si>
    <t>⚠ = limit</t>
  </si>
  <si>
    <t>Machine = Config C4</t>
  </si>
  <si>
    <t>Mode = Config C49</t>
  </si>
  <si>
    <t>M7 vector = Config C15:C17</t>
  </si>
  <si>
    <t>1st C limit?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</si>
</sst>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#,##0.000000"/>
    <numFmt numFmtId="166" formatCode="#,##0.0"/>
  </numFmts>
  <fonts count="18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color rgb="FF1F4E79"/>
      <name val="Arial"/>
      <charset val="1"/>
    </font>
    <font>
      <sz val="10"/>
      <color rgb="FF000000"/>
      <name val="Arial"/>
      <charset val="1"/>
    </font>
    <font>
      <sz val="10"/>
      <name val="Arial"/>
      <charset val="1"/>
    </font>
    <font>
      <b/>
      <sz val="13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8B"/>
      <name val="Arial"/>
      <charset val="1"/>
    </font>
    <font>
      <b/>
      <sz val="9"/>
      <color rgb="FFFFFFFF"/>
      <name val="Arial"/>
      <charset val="1"/>
    </font>
    <font>
      <i/>
      <sz val="9"/>
      <color rgb="FF555555"/>
      <name val="Arial"/>
      <charset val="1"/>
    </font>
    <font>
      <sz val="10"/>
      <color rgb="FF555555"/>
      <name val="Arial"/>
      <charset val="1"/>
    </font>
    <font>
      <b/>
      <sz val="9"/>
      <color rgb="FF1F4E79"/>
      <name val="Arial"/>
      <charset val="1"/>
    </font>
    <font>
      <sz val="10"/>
      <color rgb="FF843C0C"/>
      <name val="Arial"/>
      <charset val="1"/>
    </font>
    <font>
      <b/>
      <sz val="12"/>
      <color rgb="FFFFFFFF"/>
      <name val="Arial"/>
      <charset val="1"/>
    </font>
    <font>
      <b/>
      <sz val="9"/>
      <color rgb="FFFFFFFF"/>
      <name val="Cambria"/>
      <charset val="1"/>
    </font>
    <font>
      <b/>
      <sz val="9"/>
      <name val="Cambria"/>
      <charset val="1"/>
    </font>
    <font>
      <sz val="9"/>
      <name val="Cambria"/>
      <charset val="1"/>
    </font>
    <font>
      <b/>
      <sz val="12"/>
      <color rgb="FFFFFFFF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BDD7EE"/>
        <bgColor rgb="FFD9E1F2"/>
      </patternFill>
    </fill>
    <fill>
      <patternFill patternType="solid">
        <fgColor rgb="FFFFFFFF"/>
        <bgColor rgb="FFF5F5F5"/>
      </patternFill>
    </fill>
    <fill>
      <patternFill patternType="solid">
        <fgColor rgb="FFFCE4D6"/>
        <bgColor rgb="FFF9E4D4"/>
      </patternFill>
    </fill>
    <fill>
      <patternFill patternType="solid">
        <fgColor rgb="FFE2EFDA"/>
        <bgColor rgb="FFE8F5E9"/>
      </patternFill>
    </fill>
    <fill>
      <patternFill patternType="solid">
        <fgColor rgb="FFFFF2CC"/>
        <bgColor rgb="FFFCE4D6"/>
      </patternFill>
    </fill>
    <fill>
      <patternFill patternType="solid">
        <fgColor rgb="FFDEEAF1"/>
        <bgColor rgb="FFD9E1F2"/>
      </patternFill>
    </fill>
    <fill>
      <patternFill patternType="solid">
        <fgColor rgb="FFF2E7D9"/>
        <bgColor rgb="FFF9E4D4"/>
      </patternFill>
    </fill>
    <fill>
      <patternFill patternType="solid">
        <fgColor rgb="FFEAD9F2"/>
        <bgColor rgb="FFD9E1F2"/>
      </patternFill>
    </fill>
    <fill>
      <patternFill patternType="solid">
        <fgColor rgb="FFF9E4D4"/>
        <bgColor rgb="FFFCE4D6"/>
      </patternFill>
    </fill>
    <fill>
      <patternFill patternType="solid">
        <fgColor rgb="FFD9E1F2"/>
        <bgColor rgb="FFDEEAF1"/>
      </patternFill>
    </fill>
    <fill>
      <patternFill patternType="solid">
        <fgColor rgb="FFD4F1E4"/>
        <bgColor rgb="FFE2EFDA"/>
      </patternFill>
    </fill>
    <fill>
      <patternFill patternType="solid">
        <fgColor rgb="FFFFE4B5"/>
        <bgColor rgb="FFF9E4D4"/>
      </patternFill>
    </fill>
    <fill>
      <patternFill patternType="solid">
        <fgColor rgb="FFFFF0F0"/>
        <bgColor rgb="FFF5F5F5"/>
      </patternFill>
    </fill>
    <fill>
      <patternFill patternType="solid">
        <fgColor rgb="FFF5F5F5"/>
        <bgColor rgb="FFFFF0F0"/>
      </patternFill>
    </fill>
    <fill>
      <patternFill patternType="solid">
        <fgColor rgb="FF375623"/>
        <bgColor rgb="FF555555"/>
      </patternFill>
    </fill>
    <fill>
      <patternFill patternType="solid">
        <fgColor rgb="FF843C0C"/>
        <bgColor rgb="FF833C00"/>
      </patternFill>
    </fill>
    <fill>
      <patternFill patternType="solid">
        <fgColor rgb="FF833C00"/>
        <bgColor rgb="FF843C0C"/>
      </patternFill>
    </fill>
    <fill>
      <patternFill patternType="solid">
        <fgColor rgb="FF1F4E79"/>
        <bgColor rgb="FF003366"/>
      </patternFill>
    </fill>
    <fill>
      <patternFill patternType="solid">
        <fgColor rgb="FF7030A0"/>
        <bgColor rgb="FF800080"/>
      </patternFill>
    </fill>
    <fill>
      <patternFill patternType="solid">
        <fgColor rgb="FFDDB8F0"/>
        <bgColor rgb="FFEAD9F2"/>
      </patternFill>
    </fill>
    <fill>
      <patternFill patternType="solid">
        <fgColor rgb="FFEDEDED"/>
        <bgColor rgb="FFE8F5E9"/>
      </patternFill>
    </fill>
    <fill>
      <patternFill patternType="solid">
        <fgColor rgb="FFEDEDED"/>
        <bgColor rgb="FFF5F5F5"/>
      </patternFill>
    </fill>
  </fills>
  <borders count="6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/>
      <top/>
      <bottom style="thin">
        <color rgb="FFAAAAAA"/>
      </bottom>
      <diagonal/>
    </border>
    <border>
      <left style="thin">
        <color rgb="FFAAAAAA"/>
      </left>
      <right/>
      <top/>
      <bottom/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4" fillId="19" borderId="0" xfId="0" applyFont="1" applyFill="1" applyAlignment="1">
      <alignment horizontal="center" vertical="center" wrapText="1"/>
    </xf>
    <xf numFmtId="0" fontId="14" fillId="21" borderId="0" xfId="0" applyFont="1" applyFill="1" applyAlignment="1">
      <alignment horizontal="center" vertical="center" wrapText="1"/>
    </xf>
    <xf numFmtId="0" fontId="14" fillId="20" borderId="0" xfId="0" applyFont="1" applyFill="1" applyAlignment="1">
      <alignment horizontal="center" vertical="center" wrapText="1"/>
    </xf>
    <xf numFmtId="0" fontId="8" fillId="18" borderId="4" xfId="0" applyFont="1" applyFill="1" applyBorder="1" applyAlignment="1">
      <alignment horizontal="center" vertical="center"/>
    </xf>
    <xf numFmtId="0" fontId="8" fillId="19" borderId="2" xfId="0" applyFont="1" applyFill="1" applyBorder="1" applyAlignment="1">
      <alignment horizontal="center" vertical="center"/>
    </xf>
    <xf numFmtId="0" fontId="8" fillId="18" borderId="2" xfId="0" applyFont="1" applyFill="1" applyBorder="1" applyAlignment="1">
      <alignment horizontal="center" vertical="center"/>
    </xf>
    <xf numFmtId="0" fontId="8" fillId="17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left" vertical="center"/>
    </xf>
    <xf numFmtId="0" fontId="4" fillId="11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left" vertical="center"/>
    </xf>
    <xf numFmtId="0" fontId="4" fillId="12" borderId="1" xfId="0" applyFont="1" applyFill="1" applyBorder="1" applyAlignment="1">
      <alignment horizontal="left" vertical="center" wrapText="1"/>
    </xf>
    <xf numFmtId="0" fontId="2" fillId="13" borderId="1" xfId="0" applyFont="1" applyFill="1" applyBorder="1" applyAlignment="1">
      <alignment horizontal="left" vertical="center"/>
    </xf>
    <xf numFmtId="0" fontId="4" fillId="13" borderId="1" xfId="0" applyFont="1" applyFill="1" applyBorder="1" applyAlignment="1">
      <alignment horizontal="left" vertical="center" wrapText="1"/>
    </xf>
    <xf numFmtId="0" fontId="2" fillId="14" borderId="1" xfId="0" applyFont="1" applyFill="1" applyBorder="1" applyAlignment="1">
      <alignment horizontal="left" vertical="center"/>
    </xf>
    <xf numFmtId="0" fontId="4" fillId="14" borderId="1" xfId="0" applyFont="1" applyFill="1" applyBorder="1" applyAlignment="1">
      <alignment horizontal="left" vertical="center" wrapText="1"/>
    </xf>
    <xf numFmtId="0" fontId="2" fillId="15" borderId="1" xfId="0" applyFont="1" applyFill="1" applyBorder="1" applyAlignment="1">
      <alignment horizontal="left" vertical="center"/>
    </xf>
    <xf numFmtId="0" fontId="4" fillId="15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4" borderId="0" xfId="0" applyFont="1" applyFill="1"/>
    <xf numFmtId="0" fontId="2" fillId="3" borderId="2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1" fontId="7" fillId="8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left" vertical="center"/>
    </xf>
    <xf numFmtId="164" fontId="3" fillId="16" borderId="1" xfId="0" applyNumberFormat="1" applyFont="1" applyFill="1" applyBorder="1" applyAlignment="1">
      <alignment horizontal="left" vertical="center"/>
    </xf>
    <xf numFmtId="0" fontId="3" fillId="12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164" fontId="8" fillId="2" borderId="1" xfId="0" applyNumberFormat="1" applyFont="1" applyFill="1" applyBorder="1" applyAlignment="1">
      <alignment horizontal="center" vertical="center"/>
    </xf>
    <xf numFmtId="164" fontId="4" fillId="4" borderId="0" xfId="0" applyNumberFormat="1" applyFont="1" applyFill="1"/>
    <xf numFmtId="165" fontId="7" fillId="8" borderId="1" xfId="0" applyNumberFormat="1" applyFont="1" applyFill="1" applyBorder="1" applyAlignment="1">
      <alignment horizontal="center" vertical="center"/>
    </xf>
    <xf numFmtId="165" fontId="3" fillId="16" borderId="1" xfId="0" applyNumberFormat="1" applyFont="1" applyFill="1" applyBorder="1" applyAlignment="1">
      <alignment horizontal="center" vertical="center"/>
    </xf>
    <xf numFmtId="166" fontId="4" fillId="4" borderId="0" xfId="0" applyNumberFormat="1" applyFont="1" applyFill="1"/>
    <xf numFmtId="0" fontId="8" fillId="2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164" fontId="7" fillId="8" borderId="1" xfId="0" applyNumberFormat="1" applyFont="1" applyFill="1" applyBorder="1" applyAlignment="1">
      <alignment horizontal="center" vertical="center"/>
    </xf>
    <xf numFmtId="1" fontId="4" fillId="4" borderId="0" xfId="0" applyNumberFormat="1" applyFont="1" applyFill="1"/>
    <xf numFmtId="1" fontId="8" fillId="2" borderId="1" xfId="0" applyNumberFormat="1" applyFont="1" applyFill="1" applyBorder="1" applyAlignment="1">
      <alignment horizontal="center" vertical="center" wrapText="1"/>
    </xf>
    <xf numFmtId="166" fontId="7" fillId="8" borderId="1" xfId="0" applyNumberFormat="1" applyFont="1" applyFill="1" applyBorder="1" applyAlignment="1">
      <alignment horizontal="center" vertical="center"/>
    </xf>
    <xf numFmtId="166" fontId="7" fillId="8" borderId="3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0" fillId="4" borderId="0" xfId="0" applyFill="1"/>
    <xf numFmtId="0" fontId="8" fillId="17" borderId="1" xfId="0" applyFont="1" applyFill="1" applyBorder="1" applyAlignment="1">
      <alignment horizontal="center" vertical="center" wrapText="1"/>
    </xf>
    <xf numFmtId="0" fontId="8" fillId="18" borderId="1" xfId="0" applyFont="1" applyFill="1" applyBorder="1" applyAlignment="1">
      <alignment horizontal="center" vertical="center" wrapText="1"/>
    </xf>
    <xf numFmtId="0" fontId="8" fillId="19" borderId="1" xfId="0" applyFont="1" applyFill="1" applyBorder="1" applyAlignment="1">
      <alignment horizontal="center" vertical="center" wrapText="1"/>
    </xf>
    <xf numFmtId="0" fontId="15" fillId="3" borderId="0" xfId="0" applyFont="1" applyFill="1" applyAlignment="1">
      <alignment horizontal="center" vertical="center" wrapText="1"/>
    </xf>
    <xf numFmtId="0" fontId="15" fillId="22" borderId="0" xfId="0" applyFont="1" applyFill="1" applyAlignment="1">
      <alignment horizontal="center" vertical="center" wrapText="1"/>
    </xf>
    <xf numFmtId="0" fontId="15" fillId="5" borderId="0" xfId="0" applyFont="1" applyFill="1" applyAlignment="1">
      <alignment horizontal="center" vertical="center" wrapText="1"/>
    </xf>
    <xf numFmtId="164" fontId="3" fillId="23" borderId="1" xfId="0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 wrapText="1"/>
    </xf>
    <xf numFmtId="0" fontId="3" fillId="16" borderId="2" xfId="0" applyFont="1" applyFill="1" applyBorder="1" applyAlignment="1">
      <alignment horizontal="left" vertical="center"/>
    </xf>
    <xf numFmtId="164" fontId="9" fillId="15" borderId="2" xfId="0" applyNumberFormat="1" applyFont="1" applyFill="1" applyBorder="1" applyAlignment="1">
      <alignment horizontal="left" vertical="center" wrapText="1"/>
    </xf>
    <xf numFmtId="0" fontId="10" fillId="16" borderId="2" xfId="0" applyFont="1" applyFill="1" applyBorder="1" applyAlignment="1">
      <alignment horizontal="left" vertical="center"/>
    </xf>
    <xf numFmtId="166" fontId="10" fillId="16" borderId="2" xfId="0" applyNumberFormat="1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11" fillId="6" borderId="5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left" vertical="center" wrapText="1"/>
    </xf>
    <xf numFmtId="0" fontId="12" fillId="5" borderId="5" xfId="0" applyFont="1" applyFill="1" applyBorder="1" applyAlignment="1">
      <alignment horizontal="left" vertical="center" wrapText="1"/>
    </xf>
    <xf numFmtId="0" fontId="2" fillId="7" borderId="0" xfId="0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0" fillId="0" borderId="0" xfId="0" applyAlignment="1"/>
    <xf numFmtId="0" fontId="9" fillId="4" borderId="0" xfId="0" applyFont="1" applyFill="1" applyAlignment="1">
      <alignment vertical="center"/>
    </xf>
    <xf numFmtId="0" fontId="3" fillId="24" borderId="1" xfId="0" applyFont="1" applyFill="1" applyBorder="1" applyAlignment="1">
      <alignment horizontal="center" vertical="center"/>
    </xf>
    <xf numFmtId="0" fontId="16" fillId="24" borderId="1" xfId="0" applyFont="1" applyFill="1" applyBorder="1" applyAlignment="1">
      <alignment horizontal="center" vertical="center"/>
    </xf>
  </cellXfs>
  <cellStyles count="1">
    <cellStyle name="Normal" xfId="0" builtinId="0"/>
  </cellStyles>
  <dxfs count="6">
    <dxf>
      <fill>
        <patternFill>
          <bgColor rgb="FFE2EFDA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2E7D9"/>
      <rgbColor rgb="FFFF00FF"/>
      <rgbColor rgb="FF00FFFF"/>
      <rgbColor rgb="FF800000"/>
      <rgbColor rgb="FF008000"/>
      <rgbColor rgb="FF00008B"/>
      <rgbColor rgb="FF808000"/>
      <rgbColor rgb="FF800080"/>
      <rgbColor rgb="FF008080"/>
      <rgbColor rgb="FFDDB8F0"/>
      <rgbColor rgb="FF808080"/>
      <rgbColor rgb="FFEDEDED"/>
      <rgbColor rgb="FF7030A0"/>
      <rgbColor rgb="FFFFF2CC"/>
      <rgbColor rgb="FFE8F5E9"/>
      <rgbColor rgb="FF660066"/>
      <rgbColor rgb="FFF5F5F5"/>
      <rgbColor rgb="FF0066CC"/>
      <rgbColor rgb="FFBDD7EE"/>
      <rgbColor rgb="FF000080"/>
      <rgbColor rgb="FFFF00FF"/>
      <rgbColor rgb="FFE2EFDA"/>
      <rgbColor rgb="FF00FFFF"/>
      <rgbColor rgb="FF800080"/>
      <rgbColor rgb="FF800000"/>
      <rgbColor rgb="FF008080"/>
      <rgbColor rgb="FF0000FF"/>
      <rgbColor rgb="FF00CCFF"/>
      <rgbColor rgb="FFDEEAF1"/>
      <rgbColor rgb="FFD4F1E4"/>
      <rgbColor rgb="FFF9E4D4"/>
      <rgbColor rgb="FFD9E1F2"/>
      <rgbColor rgb="FFFCE4D6"/>
      <rgbColor rgb="FFEAD9F2"/>
      <rgbColor rgb="FFFFE4B5"/>
      <rgbColor rgb="FF2E75B6"/>
      <rgbColor rgb="FF33CCCC"/>
      <rgbColor rgb="FF99CC00"/>
      <rgbColor rgb="FFFFF0F0"/>
      <rgbColor rgb="FFFF9900"/>
      <rgbColor rgb="FFFF6600"/>
      <rgbColor rgb="FF555555"/>
      <rgbColor rgb="FFAAAAAA"/>
      <rgbColor rgb="FF003366"/>
      <rgbColor rgb="FF339966"/>
      <rgbColor rgb="FF003300"/>
      <rgbColor rgb="FF333300"/>
      <rgbColor rgb="FF833C00"/>
      <rgbColor rgb="FF843C0C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DEDED"/>
      <color rgb="FFAAAA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110"/>
  <sheetViews>
    <sheetView showGridLines="0" zoomScaleNormal="100" workbookViewId="0">
      <selection activeCell="B85" sqref="B85"/>
    </sheetView>
  </sheetViews>
  <sheetFormatPr defaultColWidth="8.7109375" defaultRowHeight="15" x14ac:dyDescent="0.25"/>
  <cols>
    <col min="1" max="1" width="3" customWidth="1"/>
    <col min="2" max="2" width="52.85546875" customWidth="1"/>
    <col min="3" max="3" width="121" customWidth="1"/>
    <col min="4" max="4" width="20" customWidth="1"/>
  </cols>
  <sheetData>
    <row r="1" spans="2:4" x14ac:dyDescent="0.25">
      <c r="B1" s="1" t="s">
        <v>0</v>
      </c>
      <c r="C1" s="1"/>
      <c r="D1" s="1"/>
    </row>
    <row r="2" spans="2:4" x14ac:dyDescent="0.25">
      <c r="B2" s="1"/>
      <c r="C2" s="1"/>
      <c r="D2" s="1"/>
    </row>
    <row r="3" spans="2:4" x14ac:dyDescent="0.25">
      <c r="B3" s="12" t="s">
        <v>1</v>
      </c>
      <c r="C3" s="13" t="s">
        <v>2</v>
      </c>
    </row>
    <row r="4" spans="2:4" x14ac:dyDescent="0.25">
      <c r="B4" s="14" t="s">
        <v>3</v>
      </c>
      <c r="C4" s="15" t="s">
        <v>4</v>
      </c>
    </row>
    <row r="5" spans="2:4" x14ac:dyDescent="0.25">
      <c r="B5" s="14" t="s">
        <v>5</v>
      </c>
      <c r="C5" s="15" t="s">
        <v>6</v>
      </c>
    </row>
    <row r="6" spans="2:4" x14ac:dyDescent="0.25">
      <c r="B6" s="14" t="s">
        <v>7</v>
      </c>
      <c r="C6" s="15" t="s">
        <v>8</v>
      </c>
    </row>
    <row r="7" spans="2:4" x14ac:dyDescent="0.25">
      <c r="B7" s="14" t="s">
        <v>9</v>
      </c>
      <c r="C7" s="15" t="s">
        <v>10</v>
      </c>
    </row>
    <row r="8" spans="2:4" x14ac:dyDescent="0.25">
      <c r="B8" s="14" t="s">
        <v>11</v>
      </c>
      <c r="C8" s="15" t="s">
        <v>12</v>
      </c>
    </row>
    <row r="9" spans="2:4" x14ac:dyDescent="0.25">
      <c r="B9" s="14" t="s">
        <v>13</v>
      </c>
      <c r="C9" s="15" t="s">
        <v>14</v>
      </c>
    </row>
    <row r="10" spans="2:4" x14ac:dyDescent="0.25">
      <c r="B10" s="12" t="s">
        <v>15</v>
      </c>
      <c r="C10" s="13"/>
    </row>
    <row r="11" spans="2:4" x14ac:dyDescent="0.25">
      <c r="B11" s="14" t="s">
        <v>16</v>
      </c>
      <c r="C11" s="15" t="s">
        <v>17</v>
      </c>
    </row>
    <row r="12" spans="2:4" x14ac:dyDescent="0.25">
      <c r="B12" s="14" t="s">
        <v>18</v>
      </c>
      <c r="C12" s="15" t="s">
        <v>19</v>
      </c>
    </row>
    <row r="13" spans="2:4" x14ac:dyDescent="0.25">
      <c r="B13" s="12" t="s">
        <v>20</v>
      </c>
      <c r="C13" s="13" t="s">
        <v>21</v>
      </c>
    </row>
    <row r="14" spans="2:4" ht="51" customHeight="1" x14ac:dyDescent="0.25">
      <c r="B14" s="14" t="s">
        <v>22</v>
      </c>
      <c r="C14" s="15" t="s">
        <v>23</v>
      </c>
    </row>
    <row r="15" spans="2:4" ht="51" customHeight="1" x14ac:dyDescent="0.25">
      <c r="B15" s="14" t="s">
        <v>24</v>
      </c>
      <c r="C15" s="15" t="s">
        <v>25</v>
      </c>
    </row>
    <row r="16" spans="2:4" ht="38.25" customHeight="1" x14ac:dyDescent="0.25">
      <c r="B16" s="14" t="s">
        <v>26</v>
      </c>
      <c r="C16" s="15" t="s">
        <v>27</v>
      </c>
    </row>
    <row r="17" spans="2:3" x14ac:dyDescent="0.25">
      <c r="B17" s="16" t="s">
        <v>28</v>
      </c>
      <c r="C17" s="17" t="s">
        <v>29</v>
      </c>
    </row>
    <row r="18" spans="2:3" x14ac:dyDescent="0.25">
      <c r="B18" s="12" t="s">
        <v>30</v>
      </c>
      <c r="C18" s="13" t="s">
        <v>31</v>
      </c>
    </row>
    <row r="19" spans="2:3" x14ac:dyDescent="0.25">
      <c r="B19" s="14" t="s">
        <v>32</v>
      </c>
      <c r="C19" s="15" t="s">
        <v>33</v>
      </c>
    </row>
    <row r="20" spans="2:3" ht="38.25" customHeight="1" x14ac:dyDescent="0.25">
      <c r="B20" s="14" t="s">
        <v>34</v>
      </c>
      <c r="C20" s="15" t="s">
        <v>35</v>
      </c>
    </row>
    <row r="21" spans="2:3" ht="51" customHeight="1" x14ac:dyDescent="0.25">
      <c r="B21" s="14" t="s">
        <v>36</v>
      </c>
      <c r="C21" s="15" t="s">
        <v>37</v>
      </c>
    </row>
    <row r="22" spans="2:3" ht="51" customHeight="1" x14ac:dyDescent="0.25">
      <c r="B22" s="14" t="s">
        <v>38</v>
      </c>
      <c r="C22" s="15" t="s">
        <v>39</v>
      </c>
    </row>
    <row r="23" spans="2:3" ht="51" customHeight="1" x14ac:dyDescent="0.25">
      <c r="B23" s="14" t="s">
        <v>40</v>
      </c>
      <c r="C23" s="15" t="s">
        <v>41</v>
      </c>
    </row>
    <row r="24" spans="2:3" ht="76.5" customHeight="1" x14ac:dyDescent="0.25">
      <c r="B24" s="18" t="s">
        <v>42</v>
      </c>
      <c r="C24" s="19" t="s">
        <v>43</v>
      </c>
    </row>
    <row r="25" spans="2:3" ht="76.5" customHeight="1" x14ac:dyDescent="0.25">
      <c r="B25" s="18" t="s">
        <v>44</v>
      </c>
      <c r="C25" s="19" t="s">
        <v>45</v>
      </c>
    </row>
    <row r="27" spans="2:3" x14ac:dyDescent="0.25">
      <c r="B27" s="12" t="s">
        <v>46</v>
      </c>
      <c r="C27" s="13"/>
    </row>
    <row r="28" spans="2:3" ht="51" customHeight="1" x14ac:dyDescent="0.25">
      <c r="B28" s="18" t="s">
        <v>47</v>
      </c>
      <c r="C28" s="19" t="s">
        <v>48</v>
      </c>
    </row>
    <row r="29" spans="2:3" ht="51" customHeight="1" x14ac:dyDescent="0.25">
      <c r="B29" s="20" t="s">
        <v>49</v>
      </c>
      <c r="C29" s="21" t="s">
        <v>50</v>
      </c>
    </row>
    <row r="30" spans="2:3" ht="51" customHeight="1" x14ac:dyDescent="0.25">
      <c r="B30" s="14" t="s">
        <v>51</v>
      </c>
      <c r="C30" s="15" t="s">
        <v>52</v>
      </c>
    </row>
    <row r="31" spans="2:3" ht="76.5" customHeight="1" x14ac:dyDescent="0.25">
      <c r="B31" s="22" t="s">
        <v>53</v>
      </c>
      <c r="C31" s="23" t="s">
        <v>54</v>
      </c>
    </row>
    <row r="33" spans="2:3" x14ac:dyDescent="0.25">
      <c r="B33" s="24" t="s">
        <v>55</v>
      </c>
      <c r="C33" s="25"/>
    </row>
    <row r="34" spans="2:3" ht="25.5" customHeight="1" x14ac:dyDescent="0.25">
      <c r="B34" s="14" t="s">
        <v>56</v>
      </c>
      <c r="C34" s="26" t="s">
        <v>57</v>
      </c>
    </row>
    <row r="35" spans="2:3" ht="63.75" customHeight="1" x14ac:dyDescent="0.25">
      <c r="B35" s="14" t="s">
        <v>22</v>
      </c>
      <c r="C35" s="26" t="s">
        <v>58</v>
      </c>
    </row>
    <row r="36" spans="2:3" ht="51" customHeight="1" x14ac:dyDescent="0.25">
      <c r="B36" s="14" t="s">
        <v>59</v>
      </c>
      <c r="C36" s="26" t="s">
        <v>60</v>
      </c>
    </row>
    <row r="37" spans="2:3" ht="38.25" customHeight="1" x14ac:dyDescent="0.25">
      <c r="B37" s="14" t="s">
        <v>26</v>
      </c>
      <c r="C37" s="26" t="s">
        <v>61</v>
      </c>
    </row>
    <row r="38" spans="2:3" ht="153" customHeight="1" x14ac:dyDescent="0.25">
      <c r="B38" s="14" t="s">
        <v>62</v>
      </c>
      <c r="C38" s="26" t="s">
        <v>63</v>
      </c>
    </row>
    <row r="39" spans="2:3" ht="76.5" customHeight="1" x14ac:dyDescent="0.25">
      <c r="B39" s="18" t="s">
        <v>64</v>
      </c>
      <c r="C39" s="27" t="s">
        <v>65</v>
      </c>
    </row>
    <row r="40" spans="2:3" ht="76.5" customHeight="1" x14ac:dyDescent="0.25">
      <c r="B40" s="18" t="s">
        <v>66</v>
      </c>
      <c r="C40" s="27" t="s">
        <v>67</v>
      </c>
    </row>
    <row r="42" spans="2:3" x14ac:dyDescent="0.25">
      <c r="B42" s="28" t="s">
        <v>68</v>
      </c>
      <c r="C42" s="29"/>
    </row>
    <row r="43" spans="2:3" ht="25.5" customHeight="1" x14ac:dyDescent="0.25">
      <c r="B43" s="14" t="s">
        <v>56</v>
      </c>
      <c r="C43" s="26" t="s">
        <v>69</v>
      </c>
    </row>
    <row r="44" spans="2:3" ht="51" customHeight="1" x14ac:dyDescent="0.25">
      <c r="B44" s="16" t="s">
        <v>70</v>
      </c>
      <c r="C44" s="30" t="s">
        <v>71</v>
      </c>
    </row>
    <row r="45" spans="2:3" ht="63.75" customHeight="1" x14ac:dyDescent="0.25">
      <c r="B45" s="14" t="s">
        <v>72</v>
      </c>
      <c r="C45" s="26" t="s">
        <v>73</v>
      </c>
    </row>
    <row r="46" spans="2:3" ht="63.75" customHeight="1" x14ac:dyDescent="0.25">
      <c r="B46" s="14" t="s">
        <v>26</v>
      </c>
      <c r="C46" s="26" t="s">
        <v>74</v>
      </c>
    </row>
    <row r="47" spans="2:3" ht="153" customHeight="1" x14ac:dyDescent="0.25">
      <c r="B47" s="14" t="s">
        <v>75</v>
      </c>
      <c r="C47" s="26" t="s">
        <v>76</v>
      </c>
    </row>
    <row r="48" spans="2:3" ht="63.75" customHeight="1" x14ac:dyDescent="0.25">
      <c r="B48" s="18" t="s">
        <v>77</v>
      </c>
      <c r="C48" s="27" t="s">
        <v>78</v>
      </c>
    </row>
    <row r="49" spans="2:3" ht="63.75" customHeight="1" x14ac:dyDescent="0.25">
      <c r="B49" s="18" t="s">
        <v>79</v>
      </c>
      <c r="C49" s="27" t="s">
        <v>80</v>
      </c>
    </row>
    <row r="50" spans="2:3" ht="38.25" customHeight="1" x14ac:dyDescent="0.25">
      <c r="B50" s="12" t="s">
        <v>81</v>
      </c>
      <c r="C50" s="31" t="s">
        <v>82</v>
      </c>
    </row>
    <row r="52" spans="2:3" x14ac:dyDescent="0.25">
      <c r="B52" s="32" t="s">
        <v>83</v>
      </c>
      <c r="C52" s="33"/>
    </row>
    <row r="53" spans="2:3" ht="51" customHeight="1" x14ac:dyDescent="0.25">
      <c r="B53" s="14" t="s">
        <v>56</v>
      </c>
      <c r="C53" s="26" t="s">
        <v>84</v>
      </c>
    </row>
    <row r="54" spans="2:3" ht="51" customHeight="1" x14ac:dyDescent="0.25">
      <c r="B54" s="16" t="s">
        <v>3</v>
      </c>
      <c r="C54" s="30" t="s">
        <v>85</v>
      </c>
    </row>
    <row r="55" spans="2:3" ht="140.25" customHeight="1" x14ac:dyDescent="0.25">
      <c r="B55" s="14" t="s">
        <v>22</v>
      </c>
      <c r="C55" s="26" t="s">
        <v>86</v>
      </c>
    </row>
    <row r="56" spans="2:3" ht="51" customHeight="1" x14ac:dyDescent="0.25">
      <c r="B56" s="14" t="s">
        <v>59</v>
      </c>
      <c r="C56" s="26" t="s">
        <v>87</v>
      </c>
    </row>
    <row r="57" spans="2:3" ht="51" customHeight="1" x14ac:dyDescent="0.25">
      <c r="B57" s="14" t="s">
        <v>26</v>
      </c>
      <c r="C57" s="26" t="s">
        <v>88</v>
      </c>
    </row>
    <row r="58" spans="2:3" ht="102" customHeight="1" x14ac:dyDescent="0.25">
      <c r="B58" s="16" t="s">
        <v>89</v>
      </c>
      <c r="C58" s="30" t="s">
        <v>90</v>
      </c>
    </row>
    <row r="59" spans="2:3" ht="114.75" customHeight="1" x14ac:dyDescent="0.25">
      <c r="B59" s="14" t="s">
        <v>91</v>
      </c>
      <c r="C59" s="26" t="s">
        <v>92</v>
      </c>
    </row>
    <row r="60" spans="2:3" ht="51" customHeight="1" x14ac:dyDescent="0.25">
      <c r="B60" s="18" t="s">
        <v>64</v>
      </c>
      <c r="C60" s="27" t="s">
        <v>93</v>
      </c>
    </row>
    <row r="61" spans="2:3" ht="51" customHeight="1" x14ac:dyDescent="0.25">
      <c r="B61" s="18" t="s">
        <v>94</v>
      </c>
      <c r="C61" s="27" t="s">
        <v>95</v>
      </c>
    </row>
    <row r="62" spans="2:3" ht="51" customHeight="1" x14ac:dyDescent="0.25">
      <c r="B62" s="18" t="s">
        <v>96</v>
      </c>
      <c r="C62" s="27" t="s">
        <v>97</v>
      </c>
    </row>
    <row r="63" spans="2:3" x14ac:dyDescent="0.25">
      <c r="B63" s="12" t="s">
        <v>98</v>
      </c>
      <c r="C63" s="31"/>
    </row>
    <row r="64" spans="2:3" ht="25.5" customHeight="1" x14ac:dyDescent="0.25">
      <c r="B64" s="34" t="s">
        <v>99</v>
      </c>
      <c r="C64" s="35" t="s">
        <v>100</v>
      </c>
    </row>
    <row r="65" spans="2:3" ht="25.5" customHeight="1" x14ac:dyDescent="0.25">
      <c r="B65" s="24" t="s">
        <v>101</v>
      </c>
      <c r="C65" s="25" t="s">
        <v>102</v>
      </c>
    </row>
    <row r="66" spans="2:3" ht="25.5" customHeight="1" x14ac:dyDescent="0.25">
      <c r="B66" s="28" t="s">
        <v>103</v>
      </c>
      <c r="C66" s="29" t="s">
        <v>104</v>
      </c>
    </row>
    <row r="67" spans="2:3" ht="25.5" customHeight="1" x14ac:dyDescent="0.25">
      <c r="B67" s="32" t="s">
        <v>105</v>
      </c>
      <c r="C67" s="33" t="s">
        <v>106</v>
      </c>
    </row>
    <row r="69" spans="2:3" x14ac:dyDescent="0.25">
      <c r="B69" s="36" t="s">
        <v>107</v>
      </c>
      <c r="C69" s="37"/>
    </row>
    <row r="70" spans="2:3" ht="51" customHeight="1" x14ac:dyDescent="0.25">
      <c r="B70" s="14" t="s">
        <v>56</v>
      </c>
      <c r="C70" s="26" t="s">
        <v>108</v>
      </c>
    </row>
    <row r="71" spans="2:3" ht="63.75" customHeight="1" x14ac:dyDescent="0.25">
      <c r="B71" s="16" t="s">
        <v>109</v>
      </c>
      <c r="C71" s="30" t="s">
        <v>110</v>
      </c>
    </row>
    <row r="72" spans="2:3" ht="89.25" customHeight="1" x14ac:dyDescent="0.25">
      <c r="B72" s="14" t="s">
        <v>111</v>
      </c>
      <c r="C72" s="26" t="s">
        <v>112</v>
      </c>
    </row>
    <row r="73" spans="2:3" ht="114.75" customHeight="1" x14ac:dyDescent="0.25">
      <c r="B73" s="14" t="s">
        <v>22</v>
      </c>
      <c r="C73" s="26" t="s">
        <v>113</v>
      </c>
    </row>
    <row r="74" spans="2:3" ht="178.5" customHeight="1" x14ac:dyDescent="0.25">
      <c r="B74" s="14" t="s">
        <v>114</v>
      </c>
      <c r="C74" s="26" t="s">
        <v>115</v>
      </c>
    </row>
    <row r="75" spans="2:3" ht="38.25" customHeight="1" x14ac:dyDescent="0.25">
      <c r="B75" s="14" t="s">
        <v>26</v>
      </c>
      <c r="C75" s="26" t="s">
        <v>116</v>
      </c>
    </row>
    <row r="76" spans="2:3" ht="204" customHeight="1" x14ac:dyDescent="0.25">
      <c r="B76" s="14" t="s">
        <v>117</v>
      </c>
      <c r="C76" s="26" t="s">
        <v>118</v>
      </c>
    </row>
    <row r="77" spans="2:3" ht="38.25" customHeight="1" x14ac:dyDescent="0.25">
      <c r="B77" s="18" t="s">
        <v>64</v>
      </c>
      <c r="C77" s="27" t="s">
        <v>119</v>
      </c>
    </row>
    <row r="78" spans="2:3" ht="76.5" customHeight="1" x14ac:dyDescent="0.25">
      <c r="B78" s="18" t="s">
        <v>120</v>
      </c>
      <c r="C78" s="27" t="s">
        <v>121</v>
      </c>
    </row>
    <row r="79" spans="2:3" x14ac:dyDescent="0.25">
      <c r="B79" s="12" t="s">
        <v>122</v>
      </c>
      <c r="C79" s="31"/>
    </row>
    <row r="80" spans="2:3" x14ac:dyDescent="0.25">
      <c r="B80" s="34" t="s">
        <v>123</v>
      </c>
      <c r="C80" s="35" t="s">
        <v>124</v>
      </c>
    </row>
    <row r="81" spans="2:3" x14ac:dyDescent="0.25">
      <c r="B81" s="24" t="s">
        <v>125</v>
      </c>
      <c r="C81" s="25" t="s">
        <v>126</v>
      </c>
    </row>
    <row r="82" spans="2:3" x14ac:dyDescent="0.25">
      <c r="B82" s="28" t="s">
        <v>127</v>
      </c>
      <c r="C82" s="29" t="s">
        <v>128</v>
      </c>
    </row>
    <row r="83" spans="2:3" x14ac:dyDescent="0.25">
      <c r="B83" s="32" t="s">
        <v>129</v>
      </c>
      <c r="C83" s="33" t="s">
        <v>130</v>
      </c>
    </row>
    <row r="84" spans="2:3" ht="25.5" customHeight="1" x14ac:dyDescent="0.25">
      <c r="B84" s="36" t="s">
        <v>131</v>
      </c>
      <c r="C84" s="37" t="s">
        <v>132</v>
      </c>
    </row>
    <row r="86" spans="2:3" x14ac:dyDescent="0.25">
      <c r="B86" s="38" t="s">
        <v>133</v>
      </c>
      <c r="C86" s="39"/>
    </row>
    <row r="87" spans="2:3" ht="63.75" customHeight="1" x14ac:dyDescent="0.25">
      <c r="B87" s="14" t="s">
        <v>56</v>
      </c>
      <c r="C87" s="26" t="s">
        <v>134</v>
      </c>
    </row>
    <row r="88" spans="2:3" ht="76.5" customHeight="1" x14ac:dyDescent="0.25">
      <c r="B88" s="16" t="s">
        <v>135</v>
      </c>
      <c r="C88" s="30" t="s">
        <v>136</v>
      </c>
    </row>
    <row r="89" spans="2:3" ht="89.25" customHeight="1" x14ac:dyDescent="0.25">
      <c r="B89" s="16" t="s">
        <v>137</v>
      </c>
      <c r="C89" s="30" t="s">
        <v>138</v>
      </c>
    </row>
    <row r="90" spans="2:3" ht="102" customHeight="1" x14ac:dyDescent="0.25">
      <c r="B90" s="14" t="s">
        <v>139</v>
      </c>
      <c r="C90" s="26" t="s">
        <v>140</v>
      </c>
    </row>
    <row r="91" spans="2:3" ht="153" customHeight="1" x14ac:dyDescent="0.25">
      <c r="B91" s="14" t="s">
        <v>114</v>
      </c>
      <c r="C91" s="26" t="s">
        <v>141</v>
      </c>
    </row>
    <row r="92" spans="2:3" ht="102" customHeight="1" x14ac:dyDescent="0.25">
      <c r="B92" s="14" t="s">
        <v>142</v>
      </c>
      <c r="C92" s="26" t="s">
        <v>143</v>
      </c>
    </row>
    <row r="93" spans="2:3" ht="51" customHeight="1" x14ac:dyDescent="0.25">
      <c r="B93" s="18" t="s">
        <v>144</v>
      </c>
      <c r="C93" s="27" t="s">
        <v>145</v>
      </c>
    </row>
    <row r="94" spans="2:3" ht="51" customHeight="1" x14ac:dyDescent="0.25">
      <c r="B94" s="18" t="s">
        <v>146</v>
      </c>
      <c r="C94" s="27" t="s">
        <v>147</v>
      </c>
    </row>
    <row r="95" spans="2:3" ht="242.25" customHeight="1" x14ac:dyDescent="0.25">
      <c r="B95" s="14" t="s">
        <v>148</v>
      </c>
      <c r="C95" s="26" t="s">
        <v>149</v>
      </c>
    </row>
    <row r="96" spans="2:3" ht="89.25" customHeight="1" x14ac:dyDescent="0.25">
      <c r="B96" s="12" t="s">
        <v>150</v>
      </c>
      <c r="C96" s="31" t="s">
        <v>151</v>
      </c>
    </row>
    <row r="97" spans="2:3" x14ac:dyDescent="0.25">
      <c r="B97" s="12" t="s">
        <v>152</v>
      </c>
      <c r="C97" s="31"/>
    </row>
    <row r="98" spans="2:3" x14ac:dyDescent="0.25">
      <c r="B98" s="34" t="s">
        <v>123</v>
      </c>
      <c r="C98" s="35" t="s">
        <v>153</v>
      </c>
    </row>
    <row r="99" spans="2:3" x14ac:dyDescent="0.25">
      <c r="B99" s="24" t="s">
        <v>125</v>
      </c>
      <c r="C99" s="25" t="s">
        <v>154</v>
      </c>
    </row>
    <row r="100" spans="2:3" x14ac:dyDescent="0.25">
      <c r="B100" s="28" t="s">
        <v>155</v>
      </c>
      <c r="C100" s="29" t="s">
        <v>156</v>
      </c>
    </row>
    <row r="101" spans="2:3" x14ac:dyDescent="0.25">
      <c r="B101" s="32" t="s">
        <v>129</v>
      </c>
      <c r="C101" s="33" t="s">
        <v>157</v>
      </c>
    </row>
    <row r="102" spans="2:3" x14ac:dyDescent="0.25">
      <c r="B102" s="36" t="s">
        <v>158</v>
      </c>
      <c r="C102" s="37" t="s">
        <v>159</v>
      </c>
    </row>
    <row r="103" spans="2:3" x14ac:dyDescent="0.25">
      <c r="B103" s="38" t="s">
        <v>160</v>
      </c>
      <c r="C103" s="39" t="s">
        <v>161</v>
      </c>
    </row>
    <row r="105" spans="2:3" x14ac:dyDescent="0.25">
      <c r="B105" s="16" t="s">
        <v>162</v>
      </c>
      <c r="C105" s="30"/>
    </row>
    <row r="106" spans="2:3" ht="63.75" customHeight="1" x14ac:dyDescent="0.25">
      <c r="B106" s="40" t="s">
        <v>163</v>
      </c>
      <c r="C106" s="41" t="s">
        <v>164</v>
      </c>
    </row>
    <row r="107" spans="2:3" ht="89.25" customHeight="1" x14ac:dyDescent="0.25">
      <c r="B107" s="40" t="s">
        <v>165</v>
      </c>
      <c r="C107" s="41" t="s">
        <v>166</v>
      </c>
    </row>
    <row r="108" spans="2:3" ht="76.5" customHeight="1" x14ac:dyDescent="0.25">
      <c r="B108" s="18" t="s">
        <v>167</v>
      </c>
      <c r="C108" s="27" t="s">
        <v>168</v>
      </c>
    </row>
    <row r="109" spans="2:3" ht="51" customHeight="1" x14ac:dyDescent="0.25">
      <c r="B109" s="20" t="s">
        <v>169</v>
      </c>
      <c r="C109" s="42" t="s">
        <v>170</v>
      </c>
    </row>
    <row r="110" spans="2:3" ht="76.5" customHeight="1" x14ac:dyDescent="0.25">
      <c r="B110" s="18" t="s">
        <v>171</v>
      </c>
      <c r="C110" s="27" t="s">
        <v>172</v>
      </c>
    </row>
  </sheetData>
  <mergeCells count="1">
    <mergeCell ref="B1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3"/>
  <sheetViews>
    <sheetView showGridLines="0" topLeftCell="A35" zoomScale="85" zoomScaleNormal="85" workbookViewId="0">
      <selection activeCell="B56" sqref="B56"/>
    </sheetView>
  </sheetViews>
  <sheetFormatPr defaultColWidth="8.7109375" defaultRowHeight="15" x14ac:dyDescent="0.25"/>
  <cols>
    <col min="1" max="1" width="3" customWidth="1"/>
    <col min="2" max="2" width="32.85546875" customWidth="1"/>
    <col min="3" max="3" width="26.42578125" customWidth="1"/>
    <col min="4" max="9" width="15" customWidth="1"/>
    <col min="10" max="10" width="72.5703125" customWidth="1"/>
  </cols>
  <sheetData>
    <row r="1" spans="1:10" x14ac:dyDescent="0.25">
      <c r="A1" s="43"/>
      <c r="B1" s="80" t="s">
        <v>173</v>
      </c>
      <c r="C1" s="80"/>
      <c r="D1" s="80"/>
      <c r="E1" s="80"/>
      <c r="F1" s="80"/>
      <c r="G1" s="80"/>
      <c r="H1" s="80"/>
      <c r="I1" s="80"/>
      <c r="J1" s="80"/>
    </row>
    <row r="2" spans="1:10" x14ac:dyDescent="0.25">
      <c r="A2" s="43"/>
      <c r="B2" s="80"/>
      <c r="C2" s="80"/>
      <c r="D2" s="80"/>
      <c r="E2" s="80"/>
      <c r="F2" s="80"/>
      <c r="G2" s="80"/>
      <c r="H2" s="80"/>
      <c r="I2" s="80"/>
      <c r="J2" s="80"/>
    </row>
    <row r="3" spans="1:10" x14ac:dyDescent="0.25">
      <c r="A3" s="43"/>
      <c r="B3" s="81" t="s">
        <v>174</v>
      </c>
      <c r="C3" s="81"/>
      <c r="D3" s="81"/>
      <c r="E3" s="81"/>
      <c r="F3" s="81"/>
      <c r="G3" s="81"/>
      <c r="H3" s="81"/>
      <c r="I3" s="81"/>
      <c r="J3" s="81"/>
    </row>
    <row r="4" spans="1:10" x14ac:dyDescent="0.25">
      <c r="A4" s="43"/>
      <c r="B4" s="45" t="s">
        <v>175</v>
      </c>
      <c r="C4" s="46">
        <v>1</v>
      </c>
      <c r="D4" s="47" t="s">
        <v>176</v>
      </c>
      <c r="E4" s="82"/>
      <c r="F4" s="82"/>
      <c r="G4" s="82"/>
      <c r="H4" s="82"/>
      <c r="I4" s="82"/>
      <c r="J4" s="82"/>
    </row>
    <row r="5" spans="1:10" x14ac:dyDescent="0.25">
      <c r="A5" s="43"/>
      <c r="B5" s="48" t="s">
        <v>177</v>
      </c>
      <c r="C5" s="49" t="s">
        <v>178</v>
      </c>
      <c r="D5" s="50" t="s">
        <v>179</v>
      </c>
      <c r="E5" s="83" t="s">
        <v>180</v>
      </c>
      <c r="F5" s="83"/>
      <c r="G5" s="83"/>
      <c r="H5" s="83"/>
      <c r="I5" s="83"/>
      <c r="J5" s="83"/>
    </row>
    <row r="6" spans="1:10" x14ac:dyDescent="0.25">
      <c r="A6" s="43"/>
      <c r="B6" s="48" t="s">
        <v>181</v>
      </c>
      <c r="C6" s="49" t="s">
        <v>182</v>
      </c>
      <c r="D6" s="50" t="s">
        <v>179</v>
      </c>
      <c r="E6" s="83" t="s">
        <v>183</v>
      </c>
      <c r="F6" s="83"/>
      <c r="G6" s="83"/>
      <c r="H6" s="83"/>
      <c r="I6" s="83"/>
      <c r="J6" s="83"/>
    </row>
    <row r="7" spans="1:10" x14ac:dyDescent="0.25">
      <c r="A7" s="43"/>
      <c r="B7" s="48" t="s">
        <v>184</v>
      </c>
      <c r="C7" s="48" t="s">
        <v>185</v>
      </c>
      <c r="D7" s="51" t="s">
        <v>186</v>
      </c>
      <c r="E7" s="83" t="s">
        <v>187</v>
      </c>
      <c r="F7" s="83"/>
      <c r="G7" s="83"/>
      <c r="H7" s="83"/>
      <c r="I7" s="83"/>
      <c r="J7" s="83"/>
    </row>
    <row r="8" spans="1:10" x14ac:dyDescent="0.25">
      <c r="A8" s="43"/>
      <c r="B8" s="48" t="s">
        <v>188</v>
      </c>
      <c r="C8" s="48" t="s">
        <v>189</v>
      </c>
      <c r="D8" s="52" t="s">
        <v>190</v>
      </c>
      <c r="E8" s="83" t="s">
        <v>191</v>
      </c>
      <c r="F8" s="83"/>
      <c r="G8" s="83"/>
      <c r="H8" s="83"/>
      <c r="I8" s="83"/>
      <c r="J8" s="83"/>
    </row>
    <row r="9" spans="1:10" x14ac:dyDescent="0.25">
      <c r="A9" s="43"/>
      <c r="B9" s="48" t="s">
        <v>192</v>
      </c>
      <c r="C9" s="48" t="s">
        <v>193</v>
      </c>
      <c r="D9" s="53" t="s">
        <v>194</v>
      </c>
      <c r="E9" s="83" t="s">
        <v>195</v>
      </c>
      <c r="F9" s="83"/>
      <c r="G9" s="83"/>
      <c r="H9" s="83"/>
      <c r="I9" s="83"/>
      <c r="J9" s="83"/>
    </row>
    <row r="10" spans="1:10" x14ac:dyDescent="0.25">
      <c r="A10" s="43"/>
      <c r="B10" s="48" t="s">
        <v>196</v>
      </c>
      <c r="C10" s="48" t="s">
        <v>197</v>
      </c>
      <c r="D10" s="54" t="s">
        <v>198</v>
      </c>
      <c r="E10" s="83" t="s">
        <v>199</v>
      </c>
      <c r="F10" s="83"/>
      <c r="G10" s="83"/>
      <c r="H10" s="83"/>
      <c r="I10" s="83"/>
      <c r="J10" s="83"/>
    </row>
    <row r="11" spans="1:10" x14ac:dyDescent="0.25">
      <c r="A11" s="43"/>
      <c r="B11" s="48" t="s">
        <v>200</v>
      </c>
      <c r="C11" s="48" t="s">
        <v>201</v>
      </c>
      <c r="D11" s="55" t="s">
        <v>202</v>
      </c>
      <c r="E11" s="83" t="s">
        <v>203</v>
      </c>
      <c r="F11" s="83"/>
      <c r="G11" s="83"/>
      <c r="H11" s="83"/>
      <c r="I11" s="83"/>
      <c r="J11" s="83"/>
    </row>
    <row r="12" spans="1:10" x14ac:dyDescent="0.25">
      <c r="A12" s="43"/>
      <c r="B12" s="43"/>
      <c r="C12" s="43"/>
      <c r="D12" s="43"/>
      <c r="E12" s="43"/>
      <c r="F12" s="43"/>
      <c r="G12" s="43"/>
      <c r="H12" s="43"/>
      <c r="I12" s="43"/>
    </row>
    <row r="13" spans="1:10" x14ac:dyDescent="0.25">
      <c r="A13" s="43"/>
      <c r="B13" s="81" t="s">
        <v>204</v>
      </c>
      <c r="C13" s="81"/>
      <c r="D13" s="81"/>
      <c r="E13" s="81"/>
      <c r="F13" s="81"/>
      <c r="G13" s="81"/>
      <c r="H13" s="81"/>
      <c r="I13" s="81"/>
      <c r="J13" s="81"/>
    </row>
    <row r="14" spans="1:10" x14ac:dyDescent="0.25">
      <c r="A14" s="43"/>
      <c r="B14" s="56" t="s">
        <v>205</v>
      </c>
      <c r="C14" s="57" t="s">
        <v>206</v>
      </c>
      <c r="D14" s="57" t="s">
        <v>207</v>
      </c>
      <c r="E14" s="58"/>
      <c r="F14" s="58"/>
      <c r="G14" s="58"/>
      <c r="H14" s="58"/>
      <c r="I14" s="43"/>
    </row>
    <row r="15" spans="1:10" ht="15" customHeight="1" x14ac:dyDescent="0.25">
      <c r="A15" s="43"/>
      <c r="B15" s="45" t="s">
        <v>208</v>
      </c>
      <c r="C15" s="59">
        <v>-0.58482500000000004</v>
      </c>
      <c r="D15" s="84" t="s">
        <v>209</v>
      </c>
      <c r="E15" s="84"/>
      <c r="F15" s="84"/>
      <c r="G15" s="84"/>
      <c r="H15" s="84"/>
      <c r="I15" s="84"/>
      <c r="J15" s="84"/>
    </row>
    <row r="16" spans="1:10" ht="15" customHeight="1" x14ac:dyDescent="0.25">
      <c r="A16" s="43"/>
      <c r="B16" s="45" t="s">
        <v>210</v>
      </c>
      <c r="C16" s="59">
        <v>0.57357599999999997</v>
      </c>
      <c r="D16" s="84" t="s">
        <v>211</v>
      </c>
      <c r="E16" s="84"/>
      <c r="F16" s="84"/>
      <c r="G16" s="84"/>
      <c r="H16" s="84"/>
      <c r="I16" s="84"/>
      <c r="J16" s="84"/>
    </row>
    <row r="17" spans="1:10" ht="15" customHeight="1" x14ac:dyDescent="0.25">
      <c r="A17" s="43"/>
      <c r="B17" s="45" t="s">
        <v>212</v>
      </c>
      <c r="C17" s="59">
        <v>-0.57357599999999997</v>
      </c>
      <c r="D17" s="84" t="s">
        <v>213</v>
      </c>
      <c r="E17" s="84"/>
      <c r="F17" s="84"/>
      <c r="G17" s="84"/>
      <c r="H17" s="84"/>
      <c r="I17" s="84"/>
      <c r="J17" s="84"/>
    </row>
    <row r="18" spans="1:10" x14ac:dyDescent="0.25">
      <c r="A18" s="43"/>
      <c r="B18" s="43"/>
      <c r="C18" s="58"/>
      <c r="D18" s="58"/>
      <c r="E18" s="58"/>
      <c r="F18" s="58"/>
      <c r="G18" s="58"/>
      <c r="H18" s="58"/>
      <c r="I18" s="43"/>
    </row>
    <row r="19" spans="1:10" x14ac:dyDescent="0.25">
      <c r="A19" s="43"/>
      <c r="B19" s="81" t="s">
        <v>214</v>
      </c>
      <c r="C19" s="81"/>
      <c r="D19" s="81"/>
      <c r="E19" s="81"/>
      <c r="F19" s="81"/>
      <c r="G19" s="81"/>
      <c r="H19" s="81"/>
      <c r="I19" s="81"/>
      <c r="J19" s="81"/>
    </row>
    <row r="20" spans="1:10" x14ac:dyDescent="0.25">
      <c r="A20" s="43"/>
      <c r="B20" s="45" t="s">
        <v>215</v>
      </c>
      <c r="C20" s="60">
        <f>C17*C17</f>
        <v>0.32898942777599999</v>
      </c>
      <c r="D20" s="85" t="s">
        <v>216</v>
      </c>
      <c r="E20" s="85"/>
      <c r="F20" s="85"/>
      <c r="G20" s="85"/>
      <c r="H20" s="85"/>
      <c r="I20" s="85"/>
      <c r="J20" s="85"/>
    </row>
    <row r="21" spans="1:10" x14ac:dyDescent="0.25">
      <c r="A21" s="43"/>
      <c r="B21" s="45" t="s">
        <v>217</v>
      </c>
      <c r="C21" s="60">
        <f>1-C17*C17</f>
        <v>0.67101057222400007</v>
      </c>
      <c r="D21" s="86" t="s">
        <v>218</v>
      </c>
      <c r="E21" s="86"/>
      <c r="F21" s="86"/>
      <c r="G21" s="86"/>
      <c r="H21" s="86"/>
      <c r="I21" s="86"/>
      <c r="J21" s="86"/>
    </row>
    <row r="22" spans="1:10" x14ac:dyDescent="0.25">
      <c r="A22" s="43"/>
      <c r="B22" s="45" t="s">
        <v>219</v>
      </c>
      <c r="C22" s="60">
        <f>C15*C17</f>
        <v>0.33544158420000003</v>
      </c>
      <c r="D22" s="86" t="s">
        <v>220</v>
      </c>
      <c r="E22" s="86"/>
      <c r="F22" s="86"/>
      <c r="G22" s="86"/>
      <c r="H22" s="86"/>
      <c r="I22" s="86"/>
      <c r="J22" s="86"/>
    </row>
    <row r="23" spans="1:10" x14ac:dyDescent="0.25">
      <c r="A23" s="43"/>
      <c r="B23" s="45" t="s">
        <v>221</v>
      </c>
      <c r="C23" s="60">
        <f>C16*C17</f>
        <v>-0.32898942777599999</v>
      </c>
      <c r="D23" s="86" t="s">
        <v>222</v>
      </c>
      <c r="E23" s="86"/>
      <c r="F23" s="86"/>
      <c r="G23" s="86"/>
      <c r="H23" s="86"/>
      <c r="I23" s="86"/>
      <c r="J23" s="86"/>
    </row>
    <row r="24" spans="1:10" x14ac:dyDescent="0.25">
      <c r="A24" s="43"/>
      <c r="B24" s="43"/>
      <c r="C24" s="61"/>
      <c r="D24" s="61"/>
      <c r="E24" s="61"/>
      <c r="F24" s="61"/>
      <c r="G24" s="61"/>
      <c r="H24" s="61"/>
      <c r="I24" s="43"/>
    </row>
    <row r="25" spans="1:10" x14ac:dyDescent="0.25">
      <c r="A25" s="43"/>
      <c r="B25" s="81" t="s">
        <v>223</v>
      </c>
      <c r="C25" s="81"/>
      <c r="D25" s="81"/>
      <c r="E25" s="81"/>
      <c r="F25" s="81"/>
      <c r="G25" s="81"/>
      <c r="H25" s="81"/>
      <c r="I25" s="81"/>
      <c r="J25" s="81"/>
    </row>
    <row r="26" spans="1:10" ht="24" customHeight="1" x14ac:dyDescent="0.25">
      <c r="A26" s="43"/>
      <c r="B26" s="62" t="s">
        <v>224</v>
      </c>
      <c r="C26" s="62" t="s">
        <v>225</v>
      </c>
      <c r="D26" s="62" t="s">
        <v>226</v>
      </c>
      <c r="E26" s="62" t="s">
        <v>227</v>
      </c>
      <c r="F26" s="62" t="s">
        <v>228</v>
      </c>
      <c r="G26" s="62" t="s">
        <v>229</v>
      </c>
      <c r="H26" s="62" t="s">
        <v>230</v>
      </c>
      <c r="I26" s="62" t="s">
        <v>231</v>
      </c>
    </row>
    <row r="27" spans="1:10" x14ac:dyDescent="0.25">
      <c r="A27" s="43"/>
      <c r="B27" s="63" t="s">
        <v>232</v>
      </c>
      <c r="C27" s="64">
        <v>0</v>
      </c>
      <c r="D27" s="64">
        <v>0</v>
      </c>
      <c r="E27" s="64">
        <v>0</v>
      </c>
      <c r="F27" s="64">
        <v>0</v>
      </c>
      <c r="G27" s="64">
        <v>0</v>
      </c>
      <c r="H27" s="64">
        <v>0</v>
      </c>
      <c r="I27" s="64">
        <v>0</v>
      </c>
    </row>
    <row r="28" spans="1:10" x14ac:dyDescent="0.25">
      <c r="A28" s="43"/>
      <c r="B28" s="63" t="s">
        <v>233</v>
      </c>
      <c r="C28" s="64">
        <v>0</v>
      </c>
      <c r="D28" s="64">
        <v>70</v>
      </c>
      <c r="E28" s="64">
        <v>0</v>
      </c>
      <c r="F28" s="64">
        <v>0</v>
      </c>
      <c r="G28" s="64">
        <v>0</v>
      </c>
      <c r="H28" s="64">
        <v>0</v>
      </c>
      <c r="I28" s="64">
        <v>0</v>
      </c>
    </row>
    <row r="29" spans="1:10" x14ac:dyDescent="0.25">
      <c r="A29" s="43"/>
      <c r="B29" s="63" t="s">
        <v>234</v>
      </c>
      <c r="C29" s="64">
        <v>0</v>
      </c>
      <c r="D29" s="64">
        <v>70</v>
      </c>
      <c r="E29" s="64">
        <v>10</v>
      </c>
      <c r="F29" s="64">
        <v>0</v>
      </c>
      <c r="G29" s="64">
        <v>0</v>
      </c>
      <c r="H29" s="64">
        <v>0</v>
      </c>
      <c r="I29" s="64">
        <v>0</v>
      </c>
    </row>
    <row r="30" spans="1:10" ht="25.5" customHeight="1" x14ac:dyDescent="0.25">
      <c r="A30" s="43"/>
      <c r="B30" s="63" t="s">
        <v>235</v>
      </c>
      <c r="C30" s="64">
        <v>0</v>
      </c>
      <c r="D30" s="64">
        <v>0</v>
      </c>
      <c r="E30" s="64">
        <v>0</v>
      </c>
      <c r="F30" s="64">
        <v>100</v>
      </c>
      <c r="G30" s="64">
        <v>150</v>
      </c>
      <c r="H30" s="64">
        <v>120</v>
      </c>
      <c r="I30" s="64">
        <v>0</v>
      </c>
    </row>
    <row r="31" spans="1:10" x14ac:dyDescent="0.25">
      <c r="A31" s="43"/>
      <c r="B31" s="43"/>
      <c r="C31" s="65"/>
      <c r="D31" s="43"/>
      <c r="E31" s="43"/>
      <c r="F31" s="43"/>
      <c r="G31" s="43"/>
      <c r="H31" s="43"/>
      <c r="I31" s="43"/>
    </row>
    <row r="32" spans="1:10" x14ac:dyDescent="0.25">
      <c r="A32" s="43"/>
      <c r="B32" s="81" t="s">
        <v>236</v>
      </c>
      <c r="C32" s="81"/>
      <c r="D32" s="81"/>
      <c r="E32" s="81"/>
      <c r="F32" s="81"/>
      <c r="G32" s="81"/>
      <c r="H32" s="81"/>
      <c r="I32" s="81"/>
      <c r="J32" s="81"/>
    </row>
    <row r="33" spans="1:10" ht="24" customHeight="1" x14ac:dyDescent="0.25">
      <c r="A33" s="43"/>
      <c r="B33" s="62" t="s">
        <v>224</v>
      </c>
      <c r="C33" s="66" t="s">
        <v>225</v>
      </c>
      <c r="D33" s="62" t="s">
        <v>226</v>
      </c>
      <c r="E33" s="62" t="s">
        <v>227</v>
      </c>
      <c r="F33" s="62" t="s">
        <v>228</v>
      </c>
      <c r="G33" s="62" t="s">
        <v>229</v>
      </c>
      <c r="H33" s="62" t="s">
        <v>230</v>
      </c>
      <c r="I33" s="62" t="s">
        <v>231</v>
      </c>
    </row>
    <row r="34" spans="1:10" x14ac:dyDescent="0.25">
      <c r="A34" s="43"/>
      <c r="B34" s="45" t="s">
        <v>237</v>
      </c>
      <c r="C34" s="67">
        <v>-120</v>
      </c>
      <c r="D34" s="67">
        <v>-120</v>
      </c>
      <c r="E34" s="67">
        <v>-5</v>
      </c>
      <c r="F34" s="67">
        <v>-30</v>
      </c>
      <c r="G34" s="67">
        <v>-110</v>
      </c>
      <c r="H34" s="67">
        <v>-30</v>
      </c>
      <c r="I34" s="67">
        <v>-5</v>
      </c>
    </row>
    <row r="35" spans="1:10" x14ac:dyDescent="0.25">
      <c r="A35" s="43"/>
      <c r="B35" s="45" t="s">
        <v>238</v>
      </c>
      <c r="C35" s="67">
        <v>30</v>
      </c>
      <c r="D35" s="67">
        <v>120</v>
      </c>
      <c r="E35" s="67">
        <v>110</v>
      </c>
      <c r="F35" s="67">
        <v>120</v>
      </c>
      <c r="G35" s="67">
        <v>110</v>
      </c>
      <c r="H35" s="67">
        <v>180</v>
      </c>
      <c r="I35" s="67">
        <v>180</v>
      </c>
    </row>
    <row r="36" spans="1:10" x14ac:dyDescent="0.25">
      <c r="A36" s="43"/>
      <c r="B36" s="45" t="s">
        <v>239</v>
      </c>
      <c r="C36" s="67">
        <v>-999999</v>
      </c>
      <c r="D36" s="67">
        <v>-999999</v>
      </c>
      <c r="E36" s="67">
        <v>-999999</v>
      </c>
      <c r="F36" s="67">
        <v>-999999</v>
      </c>
      <c r="G36" s="67">
        <v>-360</v>
      </c>
      <c r="H36" s="67">
        <v>-999999</v>
      </c>
      <c r="I36" s="67">
        <v>-999999</v>
      </c>
    </row>
    <row r="37" spans="1:10" x14ac:dyDescent="0.25">
      <c r="A37" s="43"/>
      <c r="B37" s="45" t="s">
        <v>240</v>
      </c>
      <c r="C37" s="68">
        <v>999999</v>
      </c>
      <c r="D37" s="68">
        <v>999999</v>
      </c>
      <c r="E37" s="68">
        <v>999999</v>
      </c>
      <c r="F37" s="68">
        <v>999999</v>
      </c>
      <c r="G37" s="68">
        <v>360</v>
      </c>
      <c r="H37" s="68">
        <v>-999999</v>
      </c>
      <c r="I37" s="68">
        <v>999999</v>
      </c>
    </row>
    <row r="39" spans="1:10" x14ac:dyDescent="0.25">
      <c r="B39" t="s">
        <v>241</v>
      </c>
    </row>
    <row r="41" spans="1:10" x14ac:dyDescent="0.25">
      <c r="A41" s="43"/>
      <c r="B41" s="87" t="s">
        <v>242</v>
      </c>
      <c r="C41" s="87"/>
      <c r="D41" s="87"/>
      <c r="E41" s="87"/>
      <c r="F41" s="87"/>
      <c r="G41" s="87"/>
      <c r="H41" s="87"/>
      <c r="I41" s="87"/>
      <c r="J41" s="87"/>
    </row>
    <row r="42" spans="1:10" x14ac:dyDescent="0.25">
      <c r="A42" s="43"/>
      <c r="B42" s="48" t="s">
        <v>177</v>
      </c>
      <c r="C42" s="50" t="s">
        <v>179</v>
      </c>
      <c r="D42" s="83" t="s">
        <v>243</v>
      </c>
      <c r="E42" s="83"/>
      <c r="F42" s="83"/>
      <c r="G42" s="83"/>
      <c r="H42" s="83"/>
      <c r="I42" s="83"/>
      <c r="J42" s="83"/>
    </row>
    <row r="43" spans="1:10" x14ac:dyDescent="0.25">
      <c r="A43" s="43"/>
      <c r="B43" s="48" t="s">
        <v>181</v>
      </c>
      <c r="C43" s="50" t="s">
        <v>179</v>
      </c>
      <c r="D43" s="83" t="s">
        <v>243</v>
      </c>
      <c r="E43" s="83"/>
      <c r="F43" s="83"/>
      <c r="G43" s="83"/>
      <c r="H43" s="83"/>
      <c r="I43" s="83"/>
      <c r="J43" s="83"/>
    </row>
    <row r="44" spans="1:10" x14ac:dyDescent="0.25">
      <c r="A44" s="43"/>
      <c r="B44" s="48" t="s">
        <v>184</v>
      </c>
      <c r="C44" s="51" t="s">
        <v>186</v>
      </c>
      <c r="D44" s="83" t="s">
        <v>244</v>
      </c>
      <c r="E44" s="83"/>
      <c r="F44" s="83"/>
      <c r="G44" s="83"/>
      <c r="H44" s="83"/>
      <c r="I44" s="83"/>
      <c r="J44" s="83"/>
    </row>
    <row r="45" spans="1:10" x14ac:dyDescent="0.25">
      <c r="A45" s="43"/>
      <c r="B45" s="48" t="s">
        <v>188</v>
      </c>
      <c r="C45" s="52" t="s">
        <v>190</v>
      </c>
      <c r="D45" s="83" t="s">
        <v>245</v>
      </c>
      <c r="E45" s="83"/>
      <c r="F45" s="83"/>
      <c r="G45" s="83"/>
      <c r="H45" s="83"/>
      <c r="I45" s="83"/>
      <c r="J45" s="83"/>
    </row>
    <row r="46" spans="1:10" x14ac:dyDescent="0.25">
      <c r="A46" s="43"/>
      <c r="B46" s="48" t="s">
        <v>192</v>
      </c>
      <c r="C46" s="53" t="s">
        <v>194</v>
      </c>
      <c r="D46" s="83" t="s">
        <v>246</v>
      </c>
      <c r="E46" s="83"/>
      <c r="F46" s="83"/>
      <c r="G46" s="83"/>
      <c r="H46" s="83"/>
      <c r="I46" s="83"/>
      <c r="J46" s="83"/>
    </row>
    <row r="47" spans="1:10" x14ac:dyDescent="0.25">
      <c r="A47" s="43"/>
      <c r="B47" s="48" t="s">
        <v>196</v>
      </c>
      <c r="C47" s="54" t="s">
        <v>198</v>
      </c>
      <c r="D47" s="83" t="s">
        <v>247</v>
      </c>
      <c r="E47" s="83"/>
      <c r="F47" s="83"/>
      <c r="G47" s="83"/>
      <c r="H47" s="83"/>
      <c r="I47" s="83"/>
      <c r="J47" s="83"/>
    </row>
    <row r="48" spans="1:10" x14ac:dyDescent="0.25">
      <c r="A48" s="43"/>
      <c r="B48" s="48" t="s">
        <v>200</v>
      </c>
      <c r="C48" s="55" t="s">
        <v>202</v>
      </c>
      <c r="D48" s="83" t="s">
        <v>248</v>
      </c>
      <c r="E48" s="83"/>
      <c r="F48" s="83"/>
      <c r="G48" s="83"/>
      <c r="H48" s="83"/>
      <c r="I48" s="83"/>
      <c r="J48" s="83"/>
    </row>
    <row r="49" spans="1:10" x14ac:dyDescent="0.25">
      <c r="A49" s="43"/>
      <c r="B49" s="43"/>
      <c r="C49" s="43"/>
      <c r="D49" s="43"/>
      <c r="E49" s="43"/>
      <c r="F49" s="43"/>
      <c r="G49" s="43"/>
      <c r="H49" s="43"/>
      <c r="I49" s="43"/>
    </row>
    <row r="50" spans="1:10" x14ac:dyDescent="0.25">
      <c r="B50" s="44" t="s">
        <v>249</v>
      </c>
    </row>
    <row r="51" spans="1:10" x14ac:dyDescent="0.25">
      <c r="B51" s="45" t="s">
        <v>250</v>
      </c>
      <c r="C51" s="46">
        <v>2</v>
      </c>
      <c r="D51" s="88"/>
      <c r="E51" s="88"/>
      <c r="F51" s="88"/>
      <c r="G51" s="88"/>
      <c r="H51" s="88"/>
      <c r="I51" s="88"/>
      <c r="J51" s="88"/>
    </row>
    <row r="52" spans="1:10" ht="15" customHeight="1" x14ac:dyDescent="0.25">
      <c r="B52" s="69" t="s">
        <v>251</v>
      </c>
      <c r="C52" s="89" t="s">
        <v>252</v>
      </c>
      <c r="D52" s="89"/>
      <c r="E52" s="89"/>
      <c r="F52" s="89"/>
      <c r="G52" s="89"/>
      <c r="H52" s="89"/>
      <c r="I52" s="89"/>
      <c r="J52" s="89"/>
    </row>
    <row r="53" spans="1:10" ht="15" customHeight="1" x14ac:dyDescent="0.25">
      <c r="B53" s="70" t="s">
        <v>253</v>
      </c>
      <c r="C53" s="90" t="s">
        <v>254</v>
      </c>
      <c r="D53" s="90"/>
      <c r="E53" s="90"/>
      <c r="F53" s="90"/>
      <c r="G53" s="90"/>
      <c r="H53" s="90"/>
      <c r="I53" s="90"/>
      <c r="J53" s="90"/>
    </row>
    <row r="55" spans="1:10" x14ac:dyDescent="0.25">
      <c r="B55" s="81" t="s">
        <v>255</v>
      </c>
      <c r="C55" s="81"/>
      <c r="D55" s="81"/>
      <c r="E55" s="81"/>
      <c r="F55" s="81"/>
      <c r="G55" s="81"/>
      <c r="H55" s="81"/>
      <c r="I55" s="81"/>
      <c r="J55" s="81"/>
    </row>
    <row r="56" spans="1:10" x14ac:dyDescent="0.25">
      <c r="B56" s="71" t="s">
        <v>256</v>
      </c>
    </row>
    <row r="57" spans="1:10" x14ac:dyDescent="0.25">
      <c r="B57" s="71" t="s">
        <v>257</v>
      </c>
    </row>
    <row r="58" spans="1:10" x14ac:dyDescent="0.25">
      <c r="B58" s="71" t="s">
        <v>258</v>
      </c>
    </row>
    <row r="59" spans="1:10" x14ac:dyDescent="0.25">
      <c r="B59" s="71" t="s">
        <v>259</v>
      </c>
    </row>
    <row r="60" spans="1:10" x14ac:dyDescent="0.25">
      <c r="B60" s="71" t="s">
        <v>260</v>
      </c>
    </row>
    <row r="61" spans="1:10" x14ac:dyDescent="0.25">
      <c r="B61" s="71" t="s">
        <v>261</v>
      </c>
    </row>
    <row r="62" spans="1:10" x14ac:dyDescent="0.25">
      <c r="B62" s="71" t="s">
        <v>262</v>
      </c>
    </row>
    <row r="63" spans="1:10" x14ac:dyDescent="0.25">
      <c r="B63" s="71" t="s">
        <v>263</v>
      </c>
    </row>
  </sheetData>
  <mergeCells count="33">
    <mergeCell ref="C52:J52"/>
    <mergeCell ref="C53:J53"/>
    <mergeCell ref="B55:J55"/>
    <mergeCell ref="D45:J45"/>
    <mergeCell ref="D46:J46"/>
    <mergeCell ref="D47:J47"/>
    <mergeCell ref="D48:J48"/>
    <mergeCell ref="D51:J51"/>
    <mergeCell ref="B32:J32"/>
    <mergeCell ref="B41:J41"/>
    <mergeCell ref="D42:J42"/>
    <mergeCell ref="D43:J43"/>
    <mergeCell ref="D44:J44"/>
    <mergeCell ref="D20:J20"/>
    <mergeCell ref="D21:J21"/>
    <mergeCell ref="D22:J22"/>
    <mergeCell ref="D23:J23"/>
    <mergeCell ref="B25:J25"/>
    <mergeCell ref="B13:J13"/>
    <mergeCell ref="D15:J15"/>
    <mergeCell ref="D16:J16"/>
    <mergeCell ref="D17:J17"/>
    <mergeCell ref="B19:J19"/>
    <mergeCell ref="E7:J7"/>
    <mergeCell ref="E8:J8"/>
    <mergeCell ref="E9:J9"/>
    <mergeCell ref="E10:J10"/>
    <mergeCell ref="E11:J11"/>
    <mergeCell ref="B1:J2"/>
    <mergeCell ref="B3:J3"/>
    <mergeCell ref="E4:J4"/>
    <mergeCell ref="E5:J5"/>
    <mergeCell ref="E6:J6"/>
  </mergeCells>
  <dataValidations count="2">
    <dataValidation type="list" sqref="C28 C31 C33 C51" xr:uid="{00000000-0002-0000-0100-000000000000}">
      <formula1>"1,2"</formula1>
      <formula2>0</formula2>
    </dataValidation>
    <dataValidation type="list" sqref="C4" xr:uid="{00000000-0002-0000-0100-000001000000}">
      <formula1>"1,2,3,4,5,6,7"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38"/>
  <sheetViews>
    <sheetView showGridLines="0" tabSelected="1" zoomScale="85" zoomScaleNormal="85" workbookViewId="0">
      <pane ySplit="4" topLeftCell="A5" activePane="bottomLeft" state="frozen"/>
      <selection pane="bottomLeft" activeCell="C5" sqref="C5"/>
    </sheetView>
  </sheetViews>
  <sheetFormatPr defaultColWidth="8.7109375" defaultRowHeight="15" x14ac:dyDescent="0.25"/>
  <cols>
    <col min="1" max="1" width="3" customWidth="1"/>
    <col min="2" max="2" width="5.7109375" bestFit="1" customWidth="1"/>
    <col min="3" max="3" width="21" customWidth="1"/>
    <col min="4" max="9" width="9" customWidth="1"/>
    <col min="10" max="10" width="4" customWidth="1"/>
    <col min="11" max="12" width="10" customWidth="1"/>
    <col min="13" max="13" width="4" customWidth="1"/>
    <col min="14" max="16" width="9" customWidth="1"/>
    <col min="17" max="17" width="4" customWidth="1"/>
    <col min="18" max="19" width="18.85546875" customWidth="1"/>
    <col min="20" max="20" width="3" customWidth="1"/>
    <col min="21" max="25" width="11.7109375" customWidth="1"/>
    <col min="26" max="26" width="4" customWidth="1"/>
    <col min="27" max="28" width="16.7109375" customWidth="1"/>
    <col min="29" max="29" width="4" customWidth="1"/>
    <col min="30" max="30" width="9" customWidth="1"/>
    <col min="31" max="32" width="13" customWidth="1"/>
    <col min="33" max="33" width="4" customWidth="1"/>
    <col min="34" max="34" width="18" customWidth="1"/>
    <col min="35" max="35" width="13" customWidth="1"/>
  </cols>
  <sheetData>
    <row r="1" spans="1:35" ht="27.75" customHeight="1" x14ac:dyDescent="0.25">
      <c r="A1" s="43"/>
      <c r="B1" s="92" t="s">
        <v>310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</row>
    <row r="2" spans="1:35" ht="19.5" customHeight="1" x14ac:dyDescent="0.25">
      <c r="A2" s="43"/>
      <c r="B2" s="10" t="str">
        <f>IF(Config!$C$4=1,"▶  M1: Mazak VARIAXIS i-500  |  AC Table-Table  |  ",IF(Config!$C$4=2,"▶  M2: DMG DMU 65  |  AC Table-Table  |  ",IF(Config!$C$4=3,"▶  M3: DMG DMU 50  |  BC Table-Table  |  ",IF(Config!$C$4=4,"▶  M4: Mazak Vortex i-630V  |  BC Head-Table  |  ",IF(Config!$C$4=5,"▶  M5: Hartford Aero-426  |  BC Head-Head  |  ",IF(Config!$C$4=6,"▶  M6: DMG DMC 80U duoBLOCK  |  BC Nutating 45°  |  ","▶  M7: DMG DMU 60 eVo  |  BC Arbitrary B-axis Table-Table  |  "))))))&amp;IF(Config!$C$51=1,"Mode 1: Raw passthrough (G-code output)","Mode 2: Pivot-compensated")</f>
        <v>▶  M1: Mazak VARIAXIS i-500  |  AC Table-Table  |  Mode 2: Pivot-compensated</v>
      </c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91"/>
      <c r="AH2" s="91"/>
      <c r="AI2" s="91"/>
    </row>
    <row r="3" spans="1:35" ht="15.75" customHeight="1" x14ac:dyDescent="0.25">
      <c r="A3" s="43"/>
      <c r="B3" s="9" t="s">
        <v>264</v>
      </c>
      <c r="C3" s="9"/>
      <c r="D3" s="9"/>
      <c r="E3" s="9"/>
      <c r="F3" s="9"/>
      <c r="G3" s="9"/>
      <c r="H3" s="9"/>
      <c r="I3" s="9"/>
      <c r="J3" s="47"/>
      <c r="K3" s="8" t="s">
        <v>265</v>
      </c>
      <c r="L3" s="8"/>
      <c r="M3" s="47"/>
      <c r="N3" s="7" t="s">
        <v>266</v>
      </c>
      <c r="O3" s="7"/>
      <c r="P3" s="7"/>
      <c r="Q3" s="47"/>
      <c r="R3" s="6" t="s">
        <v>267</v>
      </c>
      <c r="S3" s="6"/>
      <c r="T3" s="47"/>
      <c r="U3" s="5" t="s">
        <v>268</v>
      </c>
      <c r="V3" s="5"/>
      <c r="W3" s="5"/>
      <c r="X3" s="5"/>
      <c r="Y3" s="5"/>
      <c r="Z3" s="72"/>
      <c r="AA3" s="4" t="s">
        <v>269</v>
      </c>
      <c r="AB3" s="4"/>
      <c r="AC3" s="72"/>
      <c r="AD3" s="3" t="s">
        <v>270</v>
      </c>
      <c r="AE3" s="3"/>
      <c r="AF3" s="3"/>
      <c r="AG3" s="72"/>
      <c r="AH3" s="2" t="s">
        <v>271</v>
      </c>
      <c r="AI3" s="2"/>
    </row>
    <row r="4" spans="1:35" ht="30" customHeight="1" x14ac:dyDescent="0.25">
      <c r="A4" s="43"/>
      <c r="B4" s="62" t="s">
        <v>272</v>
      </c>
      <c r="C4" s="62" t="s">
        <v>273</v>
      </c>
      <c r="D4" s="62" t="s">
        <v>274</v>
      </c>
      <c r="E4" s="62" t="s">
        <v>275</v>
      </c>
      <c r="F4" s="62" t="s">
        <v>276</v>
      </c>
      <c r="G4" s="62" t="s">
        <v>277</v>
      </c>
      <c r="H4" s="62" t="s">
        <v>278</v>
      </c>
      <c r="I4" s="62" t="s">
        <v>279</v>
      </c>
      <c r="J4" s="47"/>
      <c r="K4" s="73" t="s">
        <v>280</v>
      </c>
      <c r="L4" s="73" t="s">
        <v>281</v>
      </c>
      <c r="M4" s="47"/>
      <c r="N4" s="74" t="s">
        <v>282</v>
      </c>
      <c r="O4" s="74" t="s">
        <v>283</v>
      </c>
      <c r="P4" s="74" t="s">
        <v>284</v>
      </c>
      <c r="Q4" s="47"/>
      <c r="R4" s="75" t="s">
        <v>285</v>
      </c>
      <c r="S4" s="75" t="s">
        <v>319</v>
      </c>
      <c r="T4" s="47"/>
      <c r="U4" s="74" t="s">
        <v>286</v>
      </c>
      <c r="V4" s="74" t="s">
        <v>287</v>
      </c>
      <c r="W4" s="74" t="s">
        <v>288</v>
      </c>
      <c r="X4" s="74" t="s">
        <v>289</v>
      </c>
      <c r="Y4" s="74" t="s">
        <v>290</v>
      </c>
      <c r="AA4" s="76" t="s">
        <v>291</v>
      </c>
      <c r="AB4" s="76" t="s">
        <v>292</v>
      </c>
      <c r="AD4" s="77" t="s">
        <v>293</v>
      </c>
      <c r="AE4" s="77" t="s">
        <v>294</v>
      </c>
      <c r="AF4" s="77" t="s">
        <v>295</v>
      </c>
      <c r="AH4" s="78" t="s">
        <v>296</v>
      </c>
      <c r="AI4" s="78" t="s">
        <v>297</v>
      </c>
    </row>
    <row r="5" spans="1:35" ht="18" customHeight="1" x14ac:dyDescent="0.25">
      <c r="A5" s="43"/>
      <c r="B5" s="47">
        <v>1</v>
      </c>
      <c r="C5" s="47"/>
      <c r="D5" s="64">
        <v>0</v>
      </c>
      <c r="E5" s="64">
        <v>0</v>
      </c>
      <c r="F5" s="64">
        <v>0</v>
      </c>
      <c r="G5" s="64">
        <v>0</v>
      </c>
      <c r="H5" s="64">
        <v>0</v>
      </c>
      <c r="I5" s="64">
        <v>1</v>
      </c>
      <c r="J5" s="47"/>
      <c r="K5" s="79">
        <f>IF(
    I5="",
    "",
    IF(
        Config!$C$4&lt;=2,
        IF(
            AND(G5=0,H5=0),
            0,
            IF(
                H5&gt;=0,
                DEGREES(ACOS(I5)),
                -DEGREES(ACOS(I5))
            )
        ),
        IF(
            Config!$C$4=3,
            IF(
                AND(G5=0,H5=0),
                0,
                IF(
                    G5&gt;=0,
                    DEGREES(ACOS(I5)),
                    -DEGREES(ACOS(I5))
                )
            ),
            IF(
                Config!$C$4=4,
                IF(
                    AND(G5=0,H5=0),
                    0,
                    DEGREES(ATAN2(I5,G5))
                ),
                IF(
                    Config!$C$4=5,
                    IF(
                        AND(G5=0,H5=0),
                        0,
                        DEGREES(ACOS(I5))
                    ),
                    IF(
                        Config!$C$4=6,
                        IF(
                            AND(G5=0,H5=0),
                            0,
                            IF(
                                G5&gt;=0,
                                DEGREES(ACOS(2*I5-1)),
                                -DEGREES(ACOS(2*I5-1))
                            )
                        ),
                        IF(
                            AND(G5=0,H5=0),
                            0,
                            IF(
                                ((G5*Config!$C$16-H5*Config!$C$15))&lt;=0,
                                DEGREES(
                                    ACOS(
                                        MAX(
                                            -1,
                                            MIN(
                                                1,
                                                (I5-Config!$C$20)/Config!$C$21
                                            )
                                        )
                                    )
                                ),
                                -DEGREES(
                                    ACOS(
                                        MAX(
                                            -1,
                                            MIN(
                                                1,
                                                (I5-Config!$C$20)/Config!$C$21
                                            )
                                        )
                                    )
                                )
                            )
                        )
                    )
                )
            )
        )
    )
)</f>
        <v>0</v>
      </c>
      <c r="L5" s="79">
        <f>IF(
    I5="",
    "",
    IF(
        Config!$C$4&lt;=2,
        IF(
            AND(G5=0,H5=0),
            0,
            DEGREES(ATAN2(H5,G5))
        ),
        IF(
            Config!$C$4=3,
            IF(
                AND(G5=0,H5=0),
                0,
                DEGREES(ATAN2(G5,-H5))
            ),
            IF(
                Config!$C$4=4,
                0,
                IF(
                    Config!$C$4=5,
                    IF(
                        AND(G5=0,H5=0),
                        0,
                        DEGREES(ATAN2(H5,G5))
                    ),
                    IF(
                        Config!$C$4=6,
                        IF(
                            AND(G5=0,H5=0),
                            0,
                            DEGREES(ATAN2(H5,G5))
                        ),
                        0
                    )
                )
            )
        )
    )
)</f>
        <v>0</v>
      </c>
      <c r="M5" s="47"/>
      <c r="N5" s="79">
        <f>IF(I5="","",
  IF(Config!$C$51=1, D5,
    IF(U5&lt;=2,
      (D5 - V5)*COS(RADIANS(L5)) + (E5 - W5)*SIN(RADIANS(L5)) + V5,
      IF(U5=3,
        ((D5 - V5)*COS(RADIANS(L5)) + (E5 - W5)*SIN(RADIANS(L5)))*COS(RADIANS(K5))
        + (F5 - X5)*SIN(RADIANS(K5)) + V5,
        IF(U5=4,
          (D5*COS(RADIANS(L5)) + E5*SIN(RADIANS(L5)) + V5) + Y5*SIN(RADIANS(K5)),
          IF(U5=5,
            D5 + Y5*SIN(RADIANS(K5))*COS(RADIANS(L5)),
            IF(U5=6,
              (D5*COS(RADIANS(L5)) + E5*SIN(RADIANS(L5)) + V5)
              + Y5*SIN(RADIANS(K5))*SIN(RADIANS(Config!$H$18)),
              COS(RADIANS(K5)) * (((D5 - V5)*COS(RADIANS(L5)) + (E5 - W5)*SIN(RADIANS(L5))))
              + SIN(RADIANS(K5)) * (
                Config!$C$16*(F5 - X5)
                - Config!$C$17*(-(D5 - V5)*SIN(RADIANS(L5)) + (E5 - W5)*COS(RADIANS(L5)))
              )
              + (1 - COS(RADIANS(K5))) * (
                ((D5 - V5)*COS(RADIANS(L5)) + (E5 - W5)*SIN(RADIANS(L5)))*Config!$C$15
                + (-(D5 - V5)*SIN(RADIANS(L5)) + (E5 - W5)*COS(RADIANS(L5)))*Config!$C$16
                + (F5 - X5)*Config!$C$17
              ) * Config!$C$15
              + V5
            )
          )
        )
      )
    )
  )
)</f>
        <v>0</v>
      </c>
      <c r="O5" s="79">
        <f>IF(I5="","",
  IF(Config!$C$51=1, E5,
    IF(U5 &lt;= 2,
      (-(D5 - V5) * SIN(RADIANS(L5)) + (E5 - W5) * COS(RADIANS(L5))) * COS(RADIANS(K5))
      + (F5 - X5) * SIN(RADIANS(K5))
      + W5,
      IF(U5 = 3,
        (-(D5 - V5) * SIN(RADIANS(L5)) + (E5 - W5) * COS(RADIANS(L5)))
        + W5,
        IF(U5 = 4,
          -(D5) * SIN(RADIANS(L5)) + (E5) * COS(RADIANS(L5))
          + W5,
          IF(U5 = 5,
            E5 + Y5 * SIN(RADIANS(K5)) * SIN(RADIANS(L5)),
            IF(U5 = 6,
              (-(D5) * SIN(RADIANS(L5)) + (E5) * COS(RADIANS(L5)) + W5)
              + Y5 * (1 - COS(RADIANS(K5))) * SIN(RADIANS(Config!$H$18)) * COS(RADIANS(Config!$H$18)),
              COS(RADIANS(K5)) * (-(D5 - V5) * SIN(RADIANS(L5)) + (E5 - W5) * COS(RADIANS(L5)))
              + SIN(RADIANS(K5)) * (
                Config!$C$17 * ((D5 - V5) * COS(RADIANS(L5)) + (E5 - W5) * SIN(RADIANS(L5)))
                - Config!$C$15 * (F5 - X5)
              )
              + (1 - COS(RADIANS(K5))) * (
                ((D5 - V5) * COS(RADIANS(L5)) + (E5 - W5) * SIN(RADIANS(L5))) * Config!$C$15
                + (-(D5 - V5) * SIN(RADIANS(L5)) + (E5 - W5) * COS(RADIANS(L5))) * Config!$C$16
                + (F5 - X5) * Config!$C$17
              ) * Config!$C$16
              + W5
            )
          )
        )
      )
    )
  )
)</f>
        <v>0</v>
      </c>
      <c r="P5" s="79">
        <f>IF(I5="","",
  IF(Config!$C$51=1, F5,
    IF(U5 &lt;= 2,
      -((-(D5 - V5) * SIN(RADIANS(L5)) + (E5 - W5) * COS(RADIANS(L5)))) * SIN(RADIANS(K5))
      + (F5 - X5) * COS(RADIANS(K5))
      + X5,
      IF(U5 = 3,
        -(((D5 - V5) * COS(RADIANS(L5)) + (E5 - W5) * SIN(RADIANS(L5)))) * SIN(RADIANS(K5))
        + (F5 - X5) * COS(RADIANS(K5))
        + X5,
        IF(U5 = 4,
          (F5 + X5) - Y5 * (1 - COS(RADIANS(K5))),
          IF(U5 = 5,
            F5 - Y5 * (1 - COS(RADIANS(K5))),
            IF(U5 = 6,
              (F5 + X5) - Y5 * SIN(RADIANS(Config!$H$18)) * SIN(RADIANS(Config!$H$18)) * (1 - COS(RADIANS(K5))),
              COS(RADIANS(K5)) * (F5 - X5)
              + SIN(RADIANS(K5)) * (
                Config!$C$15 * (-(D5 - V5) * SIN(RADIANS(L5)) + (E5 - W5) * COS(RADIANS(L5)))
                - Config!$C$16 * ((D5 - V5) * COS(RADIANS(L5)) + (E5 - W5) * SIN(RADIANS(L5)))
              )
              + (1 - COS(RADIANS(K5))) * (
                ((D5 - V5) * COS(RADIANS(L5)) + (E5 - W5) * SIN(RADIANS(L5))) * Config!$C$15
                + (-(D5 - V5) * SIN(RADIANS(L5)) + (E5 - W5) * COS(RADIANS(L5))) * Config!$C$16
                + (F5 - X5) * Config!$C$17
              ) * Config!$C$17
              + X5
            )
          )
        )
      )
    )
  )
)</f>
        <v>0</v>
      </c>
      <c r="Q5" s="47"/>
      <c r="R5" s="95" t="str">
        <f>IF(I5="","",
  IF(OR(
    K5 &lt; IF(Config!$C$4=1,Config!$C$34,
      IF(Config!$C$4=2,Config!$D$34,
        IF(Config!$C$4=3,Config!$E$34,
          IF(Config!$C$4=4,Config!$F$34,
            IF(Config!$C$4=5,Config!$G$34,
              IF(Config!$C$4=6,Config!$H$34,Config!$I$34)
            )
          )
        )
      )
    ),
    K5 &gt; IF(Config!$C$4=1,Config!$C$35,
      IF(Config!$C$4=2,Config!$D$35,
        IF(Config!$C$4=3,Config!$E$35,
          IF(Config!$C$4=4,Config!$F$35,
            IF(Config!$C$4=5,Config!$G$35,
              IF(Config!$C$4=6,Config!$H$35,Config!$I$35)
            )
          )
        )
      )
    )
  ),
    "⚠ OUT OF RANGE",
    "OK"
  )
)</f>
        <v>OK</v>
      </c>
      <c r="S5" s="95" t="str">
        <f>IF(I5="","",
  IF(OR(
    L5 &lt; IF(Config!$C$4=1,Config!$C$36,
      IF(Config!$C$4=2,Config!$D$36,
        IF(Config!$C$4=3,Config!$E$36,
          IF(Config!$C$4=4,Config!$F$36,
            IF(Config!$C$4=5,Config!$G$36,
              IF(Config!$C$4=6,Config!$H$36,Config!$I$36)
            )
          )
        )
      )
    ),
    L5 &gt; IF(Config!$C$4=1,Config!$C$37,
      IF(Config!$C$4=2,Config!$D$37,
        IF(Config!$C$4=3,Config!$E$37,
          IF(Config!$C$4=4,Config!$F$37,
            IF(Config!$C$4=5,Config!$G$37,
              IF(Config!$C$4=6,Config!$H$37,Config!$I$37)
            )
          )
        )
      )
    )
  ),
    "⚠ OUT OF RANGE",
    "OK"
  )
)</f>
        <v>OK</v>
      </c>
      <c r="T5" s="47"/>
      <c r="U5" s="79">
        <f>Config!$C$4</f>
        <v>1</v>
      </c>
      <c r="V5" s="79">
        <f>IF(U5=1, Config!$C$27,
  IF(U5=2, Config!$D$27,
    IF(U5=3, Config!$E$27,
      IF(U5=4, Config!$F$27,
        IF(U5=5, Config!$G$27,
          IF(U5=6, Config!$H$27,
            Config!$I$27
          )
        )
      )
    )
  )
)</f>
        <v>0</v>
      </c>
      <c r="W5" s="79">
        <f>IF(U5=1, Config!$C$28,
  IF(U5=2, Config!$D$28,
    IF(U5=3, Config!$E$28,
      IF(U5=4, Config!$F$28,
        IF(U5=5, Config!$G$28,
          IF(U5=6, Config!$H$28,
            Config!$I$28
          )
        )
      )
    )
  )
)</f>
        <v>0</v>
      </c>
      <c r="X5" s="79">
        <f>IF(U5=1, Config!$C$29,
  IF(U5=2, Config!$D$29,
    IF(U5=3, Config!$E$29,
      IF(U5=4, Config!$F$29,
        IF(U5=5, Config!$G$29,
          IF(U5=6, Config!$H$29,
            Config!$I$29
          )
        )
      )
    )
  )
)</f>
        <v>0</v>
      </c>
      <c r="Y5" s="79">
        <f>IF(U5=1, Config!$C$30,
  IF(U5=2, Config!$D$30,
    IF(U5=3, Config!$E$30,
      IF(U5=4, Config!$F$30,
        IF(U5=5, Config!$G$30,
          IF(U5=6, Config!$H$30,
            Config!$I$30
          )
        )
      )
    )
  )
)</f>
        <v>0</v>
      </c>
      <c r="AA5" s="79">
        <f t="shared" ref="AA5:AA29" si="0">IF(I5="","",
  IF(U5&lt;=2,
    IF(AND(G5=0,H5=0), 0, -K5),
    IF(U5=3,
      IF(AND(G5=0,H5=0), 0, -K5),
      IF(U5=4,
        IF(K5&gt;=0, 180-K5, -180-K5),
        IF(U5=5,
          "N/A",
          IF(U5=6,
            IF(AND(G5=0,H5=0), 0, -K5),
            "N/A"
          )
        )
      )
    )
  )
)</f>
        <v>0</v>
      </c>
      <c r="AB5" s="79">
        <f t="shared" ref="AB5:AB29" si="1">IF(I5="","",
  IF(U5&lt;=2,
    IF(AND(G5=0,H5=0), 0,
      IF(L5&lt;=0, L5+180, L5-180)
    ),
    IF(U5=3,
      IF(AND(G5=0,H5=0), 0,
        IF(L5&lt;=0, L5+180, L5-180)
      ),
      IF(U5=4,
        L5,
        IF(U5=5,
          "N/A",
          IF(U5=6,
            IF(AND(G5=0,H5=0), 0,
              IF(L5&lt;=0, L5+180, L5-180)
            ),
            "N/A"
          )
        )
      )
    )
  )
)</f>
        <v>0</v>
      </c>
      <c r="AC5" s="72"/>
      <c r="AD5" s="79">
        <f>IF(I5="","",
  IF(Config!$C$51=1, D5,
    IF(U5&lt;=2,
      (D5 - V5)*COS(RADIANS(AB5)) + (E5 - W5)*SIN(RADIANS(AB5)) + V5,
      IF(U5=3,
        ((D5 - V5)*COS(RADIANS(AB5)) + (E5 - W5)*SIN(RADIANS(AB5)))*COS(RADIANS(AA5))
        + (F5 - X5)*SIN(RADIANS(AA5)) + V5,
        IF(U5=4,
          (D5*COS(RADIANS(AB5)) + E5*SIN(RADIANS(AB5)) + V5) + Y5*SIN(RADIANS(AA5)),
          IF(U5=5,
            D5 + Y5*SIN(RADIANS(AA5))*COS(RADIANS(AB5)),
            IF(U5=6,
              (D5*COS(RADIANS(AB5)) + E5*SIN(RADIANS(AB5)) + V5)
              + Y5*SIN(RADIANS(AA5))*SIN(RADIANS(Config!$H$18)),
              COS(RADIANS(AA5)) * (((D5 - V5)*COS(RADIANS(AB5)) + (E5 - W5)*SIN(RADIANS(AB5))))
              + SIN(RADIANS(AA5)) * (
                Config!$C$16*(F5 - X5)
                - Config!$C$17*(-(D5 - V5)*SIN(RADIANS(AB5)) + (E5 - W5)*COS(RADIANS(AB5)))
              )
              + (1 - COS(RADIANS(AA5))) * (
                ((D5 - V5)*COS(RADIANS(AB5)) + (E5 - W5)*SIN(RADIANS(AB5)))*Config!$C$15
                + (-(D5 - V5)*SIN(RADIANS(AB5)) + (E5 - W5)*COS(RADIANS(AB5)))*Config!$C$16
                + (F5 - X5)*Config!$C$17
              ) * Config!$C$15
              + V5
            )
          )
        )
      )
    )
  )
)</f>
        <v>0</v>
      </c>
      <c r="AE5" s="79">
        <f>IF(I5="","",
  IF(Config!$C$51=1, E5,
    IF(U5 &lt;= 2,
      (-(D5 - V5) * SIN(RADIANS(AB5)) + (E5 - W5) * COS(RADIANS(AB5))) * COS(RADIANS(AA5))
      + (F5 - X5) * SIN(RADIANS(AA5))
      + W5,
      IF(U5 = 3,
        (-(D5 - V5) * SIN(RADIANS(AB5)) + (E5 - W5) * COS(RADIANS(AB5)))
        + W5,
        IF(U5 = 4,
          -(D5) * SIN(RADIANS(AB5)) + (E5) * COS(RADIANS(AB5))
          + W5,
          IF(U5 = 5,
            E5 + Y5 * SIN(RADIANS(AA5)) * SIN(RADIANS(AB5)),
            IF(U5 = 6,
              (-(D5) * SIN(RADIANS(AB5)) + (E5) * COS(RADIANS(AB5)) + W5)
              + Y5 * (1 - COS(RADIANS(AA5))) * SIN(RADIANS(Config!$H$18)) * COS(RADIANS(Config!$H$18)),
              COS(RADIANS(AA5)) * (-(D5 - V5) * SIN(RADIANS(AB5)) + (E5 - W5) * COS(RADIANS(AB5)))
              + SIN(RADIANS(AA5)) * (
                Config!$C$17 * ((D5 - V5) * COS(RADIANS(AB5)) + (E5 - W5) * SIN(RADIANS(AB5)))
                - Config!$C$15 * (F5 - X5)
              )
              + (1 - COS(RADIANS(AA5))) * (
                ((D5 - V5) * COS(RADIANS(AB5)) + (E5 - W5) * SIN(RADIANS(AB5))) * Config!$C$15
                + (-(D5 - V5) * SIN(RADIANS(AB5)) + (E5 - W5) * COS(RADIANS(AB5))) * Config!$C$16
                + (F5 - X5) * Config!$C$17
              ) * Config!$C$16
              + W5
            )
          )
        )
      )
    )
  )
)</f>
        <v>0</v>
      </c>
      <c r="AF5" s="79">
        <f>IF(I5="","",
  IF(Config!$C$51=1, F5,
    IF(U5 &lt;= 2,
      -((-(D5 - V5) * SIN(RADIANS(AB5)) + (E5 - W5) * COS(RADIANS(AB5)))) * SIN(RADIANS(AA5))
      + (F5 - X5) * COS(RADIANS(AA5))
      + X5,
      IF(U5 = 3,
        -(((D5 - V5) * COS(RADIANS(AB5)) + (E5 - W5) * SIN(RADIANS(AB5)))) * SIN(RADIANS(AA5))
        + (F5 - X5) * COS(RADIANS(AA5))
        + X5,
        IF(U5 = 4,
          (F5 + X5) - Y5 * (1 - COS(RADIANS(AA5))),
          IF(U5 = 5,
            F5 - Y5 * (1 - COS(RADIANS(AA5))),
            IF(U5 = 6,
              (F5 + X5) - Y5 * SIN(RADIANS(Config!$H$18)) * SIN(RADIANS(Config!$H$18)) * (1 - COS(RADIANS(AA5))),
              COS(RADIANS(AA5)) * (F5 - X5)
              + SIN(RADIANS(AA5)) * (
                Config!$C$15 * (-(D5 - V5) * SIN(RADIANS(AB5)) + (E5 - W5) * COS(RADIANS(AB5)))
                - Config!$C$16 * ((D5 - V5) * COS(RADIANS(AB5)) + (E5 - W5) * SIN(RADIANS(AB5)))
              )
              + (1 - COS(RADIANS(AA5))) * (
                ((D5 - V5) * COS(RADIANS(AB5)) + (E5 - W5) * SIN(RADIANS(AB5))) * Config!$C$15
                + (-(D5 - V5) * SIN(RADIANS(AB5)) + (E5 - W5) * COS(RADIANS(AB5))) * Config!$C$16
                + (F5 - X5) * Config!$C$17
              ) * Config!$C$17
              + X5
            )
          )
        )
      )
    )
  )
)</f>
        <v>0</v>
      </c>
      <c r="AG5" s="72"/>
      <c r="AH5" s="96" t="str">
        <f>IF(I5="","",
  IF(OR(AA5="N/A", AA5=""),
    "N/A",
    IF(OR(
      AA5 &lt; IF(Config!$C$4=1,Config!$C$34,
        IF(Config!$C$4=2,Config!$D$34,
          IF(Config!$C$4=3,Config!$E$34,
            IF(Config!$C$4=4,Config!$F$34,
              IF(Config!$C$4=5,Config!$G$34,
                IF(Config!$C$4=6,Config!$H$34,Config!$I$34)
              )
            )
          )
        )
      ),
      AA5 &gt; IF(Config!$C$4=1,Config!$C$35,
        IF(Config!$C$4=2,Config!$D$35,
          IF(Config!$C$4=3,Config!$E$35,
            IF(Config!$C$4=4,Config!$F$35,
              IF(Config!$C$4=5,Config!$G$35,
                IF(Config!$C$4=6,Config!$H$35,Config!$I$35)
              )
            )
          )
        )
      )
    ),
    "⚠ OUT OF RANGE",
    "OK"
    )
  )
)</f>
        <v>OK</v>
      </c>
      <c r="AI5" s="96" t="str">
        <f>IF(I5="","",
  IF(OR(AB5="N/A", AB5=""),
    "N/A",
    IF(OR(
      AB5 &lt; IF(Config!$C$4=1,Config!$C$36,
        IF(Config!$C$4=2,Config!$D$36,
          IF(Config!$C$4=3,Config!$E$36,
            IF(Config!$C$4=4,Config!$F$36,
              IF(Config!$C$4=5,Config!$G$36,
                IF(Config!$C$4=6,Config!$H$36,Config!$I$36)
              )
            )
          )
        )
      ),
      AB5 &gt; IF(Config!$C$4=1,Config!$C$37,
        IF(Config!$C$4=2,Config!$D$37,
          IF(Config!$C$4=3,Config!$E$37,
            IF(Config!$C$4=4,Config!$F$37,
              IF(Config!$C$4=5,Config!$G$37,
                IF(Config!$C$4=6,Config!$H$37,Config!$I$37)
              )
            )
          )
        )
      )
    ),
    "⚠ OUT OF RANGE",
    "OK"
    )
  )
)</f>
        <v>OK</v>
      </c>
    </row>
    <row r="6" spans="1:35" ht="18" customHeight="1" x14ac:dyDescent="0.25">
      <c r="A6" s="43"/>
      <c r="B6" s="47">
        <v>2</v>
      </c>
      <c r="C6" s="47"/>
      <c r="D6" s="64">
        <v>50</v>
      </c>
      <c r="E6" s="64">
        <v>0</v>
      </c>
      <c r="F6" s="64">
        <v>0</v>
      </c>
      <c r="G6" s="64">
        <v>0</v>
      </c>
      <c r="H6" s="64">
        <v>0</v>
      </c>
      <c r="I6" s="64">
        <v>1</v>
      </c>
      <c r="J6" s="47"/>
      <c r="K6" s="79">
        <f>IF(
    I6="",
    "",
    IF(
        Config!$C$4&lt;=2,
        IF(
            AND(G6=0,H6=0),
            0,
            IF(
                H6&gt;=0,
                DEGREES(ACOS(I6)),
                -DEGREES(ACOS(I6))
            )
        ),
        IF(
            Config!$C$4=3,
            IF(
                AND(G6=0,H6=0),
                0,
                IF(
                    G6&gt;=0,
                    DEGREES(ACOS(I6)),
                    -DEGREES(ACOS(I6))
                )
            ),
            IF(
                Config!$C$4=4,
                IF(
                    AND(G6=0,H6=0),
                    0,
                    DEGREES(ATAN2(I6,G6))
                ),
                IF(
                    Config!$C$4=5,
                    IF(
                        AND(G6=0,H6=0),
                        0,
                        DEGREES(ACOS(I6))
                    ),
                    IF(
                        Config!$C$4=6,
                        IF(
                            AND(G6=0,H6=0),
                            0,
                            IF(
                                G6&gt;=0,
                                DEGREES(ACOS(2*I6-1)),
                                -DEGREES(ACOS(2*I6-1))
                            )
                        ),
                        IF(
                            AND(G6=0,H6=0),
                            0,
                            IF(
                                ((G6*Config!$C$16-H6*Config!$C$15))&lt;=0,
                                DEGREES(
                                    ACOS(
                                        MAX(
                                            -1,
                                            MIN(
                                                1,
                                                (I6-Config!$C$20)/Config!$C$21
                                            )
                                        )
                                    )
                                ),
                                -DEGREES(
                                    ACOS(
                                        MAX(
                                            -1,
                                            MIN(
                                                1,
                                                (I6-Config!$C$20)/Config!$C$21
                                            )
                                        )
                                    )
                                )
                            )
                        )
                    )
                )
            )
        )
    )
)</f>
        <v>0</v>
      </c>
      <c r="L6" s="79">
        <f>IF(
    I6="",
    "",
    IF(
        Config!$C$4&lt;=2,
        IF(
            AND(G6=0,H6=0),
            0,
            DEGREES(ATAN2(H6,G6))
        ),
        IF(
            Config!$C$4=3,
            IF(
                AND(G6=0,H6=0),
                0,
                DEGREES(ATAN2(G6,-H6))
            ),
            IF(
                Config!$C$4=4,
                0,
                IF(
                    Config!$C$4=5,
                    IF(
                        AND(G6=0,H6=0),
                        0,
                        DEGREES(ATAN2(H6,G6))
                    ),
                    IF(
                        Config!$C$4=6,
                        IF(
                            AND(G6=0,H6=0),
                            0,
                            DEGREES(ATAN2(H6,G6))
                        ),
                        0
                    )
                )
            )
        )
    )
)</f>
        <v>0</v>
      </c>
      <c r="M6" s="47"/>
      <c r="N6" s="79">
        <f>IF(I6="","",
  IF(Config!$C$51=1, D6,
    IF(U6&lt;=2,
      (D6 - V6)*COS(RADIANS(L6)) + (E6 - W6)*SIN(RADIANS(L6)) + V6,
      IF(U6=3,
        ((D6 - V6)*COS(RADIANS(L6)) + (E6 - W6)*SIN(RADIANS(L6)))*COS(RADIANS(K6))
        + (F6 - X6)*SIN(RADIANS(K6)) + V6,
        IF(U6=4,
          (D6*COS(RADIANS(L6)) + E6*SIN(RADIANS(L6)) + V6) + Y6*SIN(RADIANS(K6)),
          IF(U6=5,
            D6 + Y6*SIN(RADIANS(K6))*COS(RADIANS(L6)),
            IF(U6=6,
              (D6*COS(RADIANS(L6)) + E6*SIN(RADIANS(L6)) + V6)
              + Y6*SIN(RADIANS(K6))*SIN(RADIANS(Config!$H$18)),
              COS(RADIANS(K6)) * (((D6 - V6)*COS(RADIANS(L6)) + (E6 - W6)*SIN(RADIANS(L6))))
              + SIN(RADIANS(K6)) * (
                Config!$C$16*(F6 - X6)
                - Config!$C$17*(-(D6 - V6)*SIN(RADIANS(L6)) + (E6 - W6)*COS(RADIANS(L6)))
              )
              + (1 - COS(RADIANS(K6))) * (
                ((D6 - V6)*COS(RADIANS(L6)) + (E6 - W6)*SIN(RADIANS(L6)))*Config!$C$15
                + (-(D6 - V6)*SIN(RADIANS(L6)) + (E6 - W6)*COS(RADIANS(L6)))*Config!$C$16
                + (F6 - X6)*Config!$C$17
              ) * Config!$C$15
              + V6
            )
          )
        )
      )
    )
  )
)</f>
        <v>50</v>
      </c>
      <c r="O6" s="79">
        <f>IF(I6="","",
  IF(Config!$C$51=1, E6,
    IF(U6 &lt;= 2,
      (-(D6 - V6) * SIN(RADIANS(L6)) + (E6 - W6) * COS(RADIANS(L6))) * COS(RADIANS(K6))
      + (F6 - X6) * SIN(RADIANS(K6))
      + W6,
      IF(U6 = 3,
        (-(D6 - V6) * SIN(RADIANS(L6)) + (E6 - W6) * COS(RADIANS(L6)))
        + W6,
        IF(U6 = 4,
          -(D6) * SIN(RADIANS(L6)) + (E6) * COS(RADIANS(L6))
          + W6,
          IF(U6 = 5,
            E6 + Y6 * SIN(RADIANS(K6)) * SIN(RADIANS(L6)),
            IF(U6 = 6,
              (-(D6) * SIN(RADIANS(L6)) + (E6) * COS(RADIANS(L6)) + W6)
              + Y6 * (1 - COS(RADIANS(K6))) * SIN(RADIANS(Config!$H$18)) * COS(RADIANS(Config!$H$18)),
              COS(RADIANS(K6)) * (-(D6 - V6) * SIN(RADIANS(L6)) + (E6 - W6) * COS(RADIANS(L6)))
              + SIN(RADIANS(K6)) * (
                Config!$C$17 * ((D6 - V6) * COS(RADIANS(L6)) + (E6 - W6) * SIN(RADIANS(L6)))
                - Config!$C$15 * (F6 - X6)
              )
              + (1 - COS(RADIANS(K6))) * (
                ((D6 - V6) * COS(RADIANS(L6)) + (E6 - W6) * SIN(RADIANS(L6))) * Config!$C$15
                + (-(D6 - V6) * SIN(RADIANS(L6)) + (E6 - W6) * COS(RADIANS(L6))) * Config!$C$16
                + (F6 - X6) * Config!$C$17
              ) * Config!$C$16
              + W6
            )
          )
        )
      )
    )
  )
)</f>
        <v>0</v>
      </c>
      <c r="P6" s="79">
        <f>IF(I6="","",
  IF(Config!$C$51=1, F6,
    IF(U6 &lt;= 2,
      -((-(D6 - V6) * SIN(RADIANS(L6)) + (E6 - W6) * COS(RADIANS(L6)))) * SIN(RADIANS(K6))
      + (F6 - X6) * COS(RADIANS(K6))
      + X6,
      IF(U6 = 3,
        -(((D6 - V6) * COS(RADIANS(L6)) + (E6 - W6) * SIN(RADIANS(L6)))) * SIN(RADIANS(K6))
        + (F6 - X6) * COS(RADIANS(K6))
        + X6,
        IF(U6 = 4,
          (F6 + X6) - Y6 * (1 - COS(RADIANS(K6))),
          IF(U6 = 5,
            F6 - Y6 * (1 - COS(RADIANS(K6))),
            IF(U6 = 6,
              (F6 + X6) - Y6 * SIN(RADIANS(Config!$H$18)) * SIN(RADIANS(Config!$H$18)) * (1 - COS(RADIANS(K6))),
              COS(RADIANS(K6)) * (F6 - X6)
              + SIN(RADIANS(K6)) * (
                Config!$C$15 * (-(D6 - V6) * SIN(RADIANS(L6)) + (E6 - W6) * COS(RADIANS(L6)))
                - Config!$C$16 * ((D6 - V6) * COS(RADIANS(L6)) + (E6 - W6) * SIN(RADIANS(L6)))
              )
              + (1 - COS(RADIANS(K6))) * (
                ((D6 - V6) * COS(RADIANS(L6)) + (E6 - W6) * SIN(RADIANS(L6))) * Config!$C$15
                + (-(D6 - V6) * SIN(RADIANS(L6)) + (E6 - W6) * COS(RADIANS(L6))) * Config!$C$16
                + (F6 - X6) * Config!$C$17
              ) * Config!$C$17
              + X6
            )
          )
        )
      )
    )
  )
)</f>
        <v>0</v>
      </c>
      <c r="Q6" s="47"/>
      <c r="R6" s="95" t="str">
        <f>IF(I6="","",
  IF(OR(
    K6 &lt; IF(Config!$C$4=1,Config!$C$34,
      IF(Config!$C$4=2,Config!$D$34,
        IF(Config!$C$4=3,Config!$E$34,
          IF(Config!$C$4=4,Config!$F$34,
            IF(Config!$C$4=5,Config!$G$34,
              IF(Config!$C$4=6,Config!$H$34,Config!$I$34)
            )
          )
        )
      )
    ),
    K6 &gt; IF(Config!$C$4=1,Config!$C$35,
      IF(Config!$C$4=2,Config!$D$35,
        IF(Config!$C$4=3,Config!$E$35,
          IF(Config!$C$4=4,Config!$F$35,
            IF(Config!$C$4=5,Config!$G$35,
              IF(Config!$C$4=6,Config!$H$35,Config!$I$35)
            )
          )
        )
      )
    )
  ),
    "⚠ OUT OF RANGE",
    "OK"
  )
)</f>
        <v>OK</v>
      </c>
      <c r="S6" s="95" t="str">
        <f>IF(I6="","",
  IF(OR(
    L6 &lt; IF(Config!$C$4=1,Config!$C$36,
      IF(Config!$C$4=2,Config!$D$36,
        IF(Config!$C$4=3,Config!$E$36,
          IF(Config!$C$4=4,Config!$F$36,
            IF(Config!$C$4=5,Config!$G$36,
              IF(Config!$C$4=6,Config!$H$36,Config!$I$36)
            )
          )
        )
      )
    ),
    L6 &gt; IF(Config!$C$4=1,Config!$C$37,
      IF(Config!$C$4=2,Config!$D$37,
        IF(Config!$C$4=3,Config!$E$37,
          IF(Config!$C$4=4,Config!$F$37,
            IF(Config!$C$4=5,Config!$G$37,
              IF(Config!$C$4=6,Config!$H$37,Config!$I$37)
            )
          )
        )
      )
    )
  ),
    "⚠ OUT OF RANGE",
    "OK"
  )
)</f>
        <v>OK</v>
      </c>
      <c r="T6" s="47"/>
      <c r="U6" s="79">
        <f>Config!$C$4</f>
        <v>1</v>
      </c>
      <c r="V6" s="79">
        <f>IF(U6=1, Config!$C$27,
  IF(U6=2, Config!$D$27,
    IF(U6=3, Config!$E$27,
      IF(U6=4, Config!$F$27,
        IF(U6=5, Config!$G$27,
          IF(U6=6, Config!$H$27,
            Config!$I$27
          )
        )
      )
    )
  )
)</f>
        <v>0</v>
      </c>
      <c r="W6" s="79">
        <f>IF(U6=1, Config!$C$28,
  IF(U6=2, Config!$D$28,
    IF(U6=3, Config!$E$28,
      IF(U6=4, Config!$F$28,
        IF(U6=5, Config!$G$28,
          IF(U6=6, Config!$H$28,
            Config!$I$28
          )
        )
      )
    )
  )
)</f>
        <v>0</v>
      </c>
      <c r="X6" s="79">
        <f>IF(U6=1, Config!$C$29,
  IF(U6=2, Config!$D$29,
    IF(U6=3, Config!$E$29,
      IF(U6=4, Config!$F$29,
        IF(U6=5, Config!$G$29,
          IF(U6=6, Config!$H$29,
            Config!$I$29
          )
        )
      )
    )
  )
)</f>
        <v>0</v>
      </c>
      <c r="Y6" s="79">
        <f>IF(U6=1, Config!$C$30,
  IF(U6=2, Config!$D$30,
    IF(U6=3, Config!$E$30,
      IF(U6=4, Config!$F$30,
        IF(U6=5, Config!$G$30,
          IF(U6=6, Config!$H$30,
            Config!$I$30
          )
        )
      )
    )
  )
)</f>
        <v>0</v>
      </c>
      <c r="AA6" s="79">
        <f t="shared" si="0"/>
        <v>0</v>
      </c>
      <c r="AB6" s="79">
        <f t="shared" si="1"/>
        <v>0</v>
      </c>
      <c r="AC6" s="72"/>
      <c r="AD6" s="79">
        <f>IF(I6="","",
  IF(Config!$C$51=1, D6,
    IF(U6&lt;=2,
      (D6 - V6)*COS(RADIANS(AB6)) + (E6 - W6)*SIN(RADIANS(AB6)) + V6,
      IF(U6=3,
        ((D6 - V6)*COS(RADIANS(AB6)) + (E6 - W6)*SIN(RADIANS(AB6)))*COS(RADIANS(AA6))
        + (F6 - X6)*SIN(RADIANS(AA6)) + V6,
        IF(U6=4,
          (D6*COS(RADIANS(AB6)) + E6*SIN(RADIANS(AB6)) + V6) + Y6*SIN(RADIANS(AA6)),
          IF(U6=5,
            D6 + Y6*SIN(RADIANS(AA6))*COS(RADIANS(AB6)),
            IF(U6=6,
              (D6*COS(RADIANS(AB6)) + E6*SIN(RADIANS(AB6)) + V6)
              + Y6*SIN(RADIANS(AA6))*SIN(RADIANS(Config!$H$18)),
              COS(RADIANS(AA6)) * (((D6 - V6)*COS(RADIANS(AB6)) + (E6 - W6)*SIN(RADIANS(AB6))))
              + SIN(RADIANS(AA6)) * (
                Config!$C$16*(F6 - X6)
                - Config!$C$17*(-(D6 - V6)*SIN(RADIANS(AB6)) + (E6 - W6)*COS(RADIANS(AB6)))
              )
              + (1 - COS(RADIANS(AA6))) * (
                ((D6 - V6)*COS(RADIANS(AB6)) + (E6 - W6)*SIN(RADIANS(AB6)))*Config!$C$15
                + (-(D6 - V6)*SIN(RADIANS(AB6)) + (E6 - W6)*COS(RADIANS(AB6)))*Config!$C$16
                + (F6 - X6)*Config!$C$17
              ) * Config!$C$15
              + V6
            )
          )
        )
      )
    )
  )
)</f>
        <v>50</v>
      </c>
      <c r="AE6" s="79">
        <f>IF(I6="","",
  IF(Config!$C$51=1, E6,
    IF(U6 &lt;= 2,
      (-(D6 - V6) * SIN(RADIANS(AB6)) + (E6 - W6) * COS(RADIANS(AB6))) * COS(RADIANS(AA6))
      + (F6 - X6) * SIN(RADIANS(AA6))
      + W6,
      IF(U6 = 3,
        (-(D6 - V6) * SIN(RADIANS(AB6)) + (E6 - W6) * COS(RADIANS(AB6)))
        + W6,
        IF(U6 = 4,
          -(D6) * SIN(RADIANS(AB6)) + (E6) * COS(RADIANS(AB6))
          + W6,
          IF(U6 = 5,
            E6 + Y6 * SIN(RADIANS(AA6)) * SIN(RADIANS(AB6)),
            IF(U6 = 6,
              (-(D6) * SIN(RADIANS(AB6)) + (E6) * COS(RADIANS(AB6)) + W6)
              + Y6 * (1 - COS(RADIANS(AA6))) * SIN(RADIANS(Config!$H$18)) * COS(RADIANS(Config!$H$18)),
              COS(RADIANS(AA6)) * (-(D6 - V6) * SIN(RADIANS(AB6)) + (E6 - W6) * COS(RADIANS(AB6)))
              + SIN(RADIANS(AA6)) * (
                Config!$C$17 * ((D6 - V6) * COS(RADIANS(AB6)) + (E6 - W6) * SIN(RADIANS(AB6)))
                - Config!$C$15 * (F6 - X6)
              )
              + (1 - COS(RADIANS(AA6))) * (
                ((D6 - V6) * COS(RADIANS(AB6)) + (E6 - W6) * SIN(RADIANS(AB6))) * Config!$C$15
                + (-(D6 - V6) * SIN(RADIANS(AB6)) + (E6 - W6) * COS(RADIANS(AB6))) * Config!$C$16
                + (F6 - X6) * Config!$C$17
              ) * Config!$C$16
              + W6
            )
          )
        )
      )
    )
  )
)</f>
        <v>0</v>
      </c>
      <c r="AF6" s="79">
        <f>IF(I6="","",
  IF(Config!$C$51=1, F6,
    IF(U6 &lt;= 2,
      -((-(D6 - V6) * SIN(RADIANS(AB6)) + (E6 - W6) * COS(RADIANS(AB6)))) * SIN(RADIANS(AA6))
      + (F6 - X6) * COS(RADIANS(AA6))
      + X6,
      IF(U6 = 3,
        -(((D6 - V6) * COS(RADIANS(AB6)) + (E6 - W6) * SIN(RADIANS(AB6)))) * SIN(RADIANS(AA6))
        + (F6 - X6) * COS(RADIANS(AA6))
        + X6,
        IF(U6 = 4,
          (F6 + X6) - Y6 * (1 - COS(RADIANS(AA6))),
          IF(U6 = 5,
            F6 - Y6 * (1 - COS(RADIANS(AA6))),
            IF(U6 = 6,
              (F6 + X6) - Y6 * SIN(RADIANS(Config!$H$18)) * SIN(RADIANS(Config!$H$18)) * (1 - COS(RADIANS(AA6))),
              COS(RADIANS(AA6)) * (F6 - X6)
              + SIN(RADIANS(AA6)) * (
                Config!$C$15 * (-(D6 - V6) * SIN(RADIANS(AB6)) + (E6 - W6) * COS(RADIANS(AB6)))
                - Config!$C$16 * ((D6 - V6) * COS(RADIANS(AB6)) + (E6 - W6) * SIN(RADIANS(AB6)))
              )
              + (1 - COS(RADIANS(AA6))) * (
                ((D6 - V6) * COS(RADIANS(AB6)) + (E6 - W6) * SIN(RADIANS(AB6))) * Config!$C$15
                + (-(D6 - V6) * SIN(RADIANS(AB6)) + (E6 - W6) * COS(RADIANS(AB6))) * Config!$C$16
                + (F6 - X6) * Config!$C$17
              ) * Config!$C$17
              + X6
            )
          )
        )
      )
    )
  )
)</f>
        <v>0</v>
      </c>
      <c r="AG6" s="72"/>
      <c r="AH6" s="96" t="str">
        <f>IF(I6="","",
  IF(OR(AA6="N/A", AA6=""),
    "N/A",
    IF(OR(
      AA6 &lt; IF(Config!$C$4=1,Config!$C$34,
        IF(Config!$C$4=2,Config!$D$34,
          IF(Config!$C$4=3,Config!$E$34,
            IF(Config!$C$4=4,Config!$F$34,
              IF(Config!$C$4=5,Config!$G$34,
                IF(Config!$C$4=6,Config!$H$34,Config!$I$34)
              )
            )
          )
        )
      ),
      AA6 &gt; IF(Config!$C$4=1,Config!$C$35,
        IF(Config!$C$4=2,Config!$D$35,
          IF(Config!$C$4=3,Config!$E$35,
            IF(Config!$C$4=4,Config!$F$35,
              IF(Config!$C$4=5,Config!$G$35,
                IF(Config!$C$4=6,Config!$H$35,Config!$I$35)
              )
            )
          )
        )
      )
    ),
    "⚠ OUT OF RANGE",
    "OK"
    )
  )
)</f>
        <v>OK</v>
      </c>
      <c r="AI6" s="96" t="str">
        <f>IF(I6="","",
  IF(OR(AB6="N/A", AB6=""),
    "N/A",
    IF(OR(
      AB6 &lt; IF(Config!$C$4=1,Config!$C$36,
        IF(Config!$C$4=2,Config!$D$36,
          IF(Config!$C$4=3,Config!$E$36,
            IF(Config!$C$4=4,Config!$F$36,
              IF(Config!$C$4=5,Config!$G$36,
                IF(Config!$C$4=6,Config!$H$36,Config!$I$36)
              )
            )
          )
        )
      ),
      AB6 &gt; IF(Config!$C$4=1,Config!$C$37,
        IF(Config!$C$4=2,Config!$D$37,
          IF(Config!$C$4=3,Config!$E$37,
            IF(Config!$C$4=4,Config!$F$37,
              IF(Config!$C$4=5,Config!$G$37,
                IF(Config!$C$4=6,Config!$H$37,Config!$I$37)
              )
            )
          )
        )
      )
    ),
    "⚠ OUT OF RANGE",
    "OK"
    )
  )
)</f>
        <v>OK</v>
      </c>
    </row>
    <row r="7" spans="1:35" ht="18" customHeight="1" x14ac:dyDescent="0.25">
      <c r="A7" s="43"/>
      <c r="B7" s="47">
        <v>3</v>
      </c>
      <c r="C7" s="47"/>
      <c r="D7" s="64">
        <v>0</v>
      </c>
      <c r="E7" s="64">
        <v>0</v>
      </c>
      <c r="F7" s="64">
        <v>0</v>
      </c>
      <c r="G7" s="64">
        <v>0.33169999999999999</v>
      </c>
      <c r="H7" s="64">
        <v>0.24840000000000001</v>
      </c>
      <c r="I7" s="64">
        <v>0.91010000000000002</v>
      </c>
      <c r="J7" s="47"/>
      <c r="K7" s="79">
        <f>IF(
    I7="",
    "",
    IF(
        Config!$C$4&lt;=2,
        IF(
            AND(G7=0,H7=0),
            0,
            IF(
                H7&gt;=0,
                DEGREES(ACOS(I7)),
                -DEGREES(ACOS(I7))
            )
        ),
        IF(
            Config!$C$4=3,
            IF(
                AND(G7=0,H7=0),
                0,
                IF(
                    G7&gt;=0,
                    DEGREES(ACOS(I7)),
                    -DEGREES(ACOS(I7))
                )
            ),
            IF(
                Config!$C$4=4,
                IF(
                    AND(G7=0,H7=0),
                    0,
                    DEGREES(ATAN2(I7,G7))
                ),
                IF(
                    Config!$C$4=5,
                    IF(
                        AND(G7=0,H7=0),
                        0,
                        DEGREES(ACOS(I7))
                    ),
                    IF(
                        Config!$C$4=6,
                        IF(
                            AND(G7=0,H7=0),
                            0,
                            IF(
                                G7&gt;=0,
                                DEGREES(ACOS(2*I7-1)),
                                -DEGREES(ACOS(2*I7-1))
                            )
                        ),
                        IF(
                            AND(G7=0,H7=0),
                            0,
                            IF(
                                ((G7*Config!$C$16-H7*Config!$C$15))&lt;=0,
                                DEGREES(
                                    ACOS(
                                        MAX(
                                            -1,
                                            MIN(
                                                1,
                                                (I7-Config!$C$20)/Config!$C$21
                                            )
                                        )
                                    )
                                ),
                                -DEGREES(
                                    ACOS(
                                        MAX(
                                            -1,
                                            MIN(
                                                1,
                                                (I7-Config!$C$20)/Config!$C$21
                                            )
                                        )
                                    )
                                )
                            )
                        )
                    )
                )
            )
        )
    )
)</f>
        <v>24.480825554530341</v>
      </c>
      <c r="L7" s="79">
        <f>IF(
    I7="",
    "",
    IF(
        Config!$C$4&lt;=2,
        IF(
            AND(G7=0,H7=0),
            0,
            DEGREES(ATAN2(H7,G7))
        ),
        IF(
            Config!$C$4=3,
            IF(
                AND(G7=0,H7=0),
                0,
                DEGREES(ATAN2(G7,-H7))
            ),
            IF(
                Config!$C$4=4,
                0,
                IF(
                    Config!$C$4=5,
                    IF(
                        AND(G7=0,H7=0),
                        0,
                        DEGREES(ATAN2(H7,G7))
                    ),
                    IF(
                        Config!$C$4=6,
                        IF(
                            AND(G7=0,H7=0),
                            0,
                            DEGREES(ATAN2(H7,G7))
                        ),
                        0
                    )
                )
            )
        )
    )
)</f>
        <v>53.171580951769712</v>
      </c>
      <c r="M7" s="47"/>
      <c r="N7" s="79">
        <f>IF(I7="","",
  IF(Config!$C$51=1, D7,
    IF(U7&lt;=2,
      (D7 - V7)*COS(RADIANS(L7)) + (E7 - W7)*SIN(RADIANS(L7)) + V7,
      IF(U7=3,
        ((D7 - V7)*COS(RADIANS(L7)) + (E7 - W7)*SIN(RADIANS(L7)))*COS(RADIANS(K7))
        + (F7 - X7)*SIN(RADIANS(K7)) + V7,
        IF(U7=4,
          (D7*COS(RADIANS(L7)) + E7*SIN(RADIANS(L7)) + V7) + Y7*SIN(RADIANS(K7)),
          IF(U7=5,
            D7 + Y7*SIN(RADIANS(K7))*COS(RADIANS(L7)),
            IF(U7=6,
              (D7*COS(RADIANS(L7)) + E7*SIN(RADIANS(L7)) + V7)
              + Y7*SIN(RADIANS(K7))*SIN(RADIANS(Config!$H$18)),
              COS(RADIANS(K7)) * (((D7 - V7)*COS(RADIANS(L7)) + (E7 - W7)*SIN(RADIANS(L7))))
              + SIN(RADIANS(K7)) * (
                Config!$C$16*(F7 - X7)
                - Config!$C$17*(-(D7 - V7)*SIN(RADIANS(L7)) + (E7 - W7)*COS(RADIANS(L7)))
              )
              + (1 - COS(RADIANS(K7))) * (
                ((D7 - V7)*COS(RADIANS(L7)) + (E7 - W7)*SIN(RADIANS(L7)))*Config!$C$15
                + (-(D7 - V7)*SIN(RADIANS(L7)) + (E7 - W7)*COS(RADIANS(L7)))*Config!$C$16
                + (F7 - X7)*Config!$C$17
              ) * Config!$C$15
              + V7
            )
          )
        )
      )
    )
  )
)</f>
        <v>0</v>
      </c>
      <c r="O7" s="79">
        <f>IF(I7="","",
  IF(Config!$C$51=1, E7,
    IF(U7 &lt;= 2,
      (-(D7 - V7) * SIN(RADIANS(L7)) + (E7 - W7) * COS(RADIANS(L7))) * COS(RADIANS(K7))
      + (F7 - X7) * SIN(RADIANS(K7))
      + W7,
      IF(U7 = 3,
        (-(D7 - V7) * SIN(RADIANS(L7)) + (E7 - W7) * COS(RADIANS(L7)))
        + W7,
        IF(U7 = 4,
          -(D7) * SIN(RADIANS(L7)) + (E7) * COS(RADIANS(L7))
          + W7,
          IF(U7 = 5,
            E7 + Y7 * SIN(RADIANS(K7)) * SIN(RADIANS(L7)),
            IF(U7 = 6,
              (-(D7) * SIN(RADIANS(L7)) + (E7) * COS(RADIANS(L7)) + W7)
              + Y7 * (1 - COS(RADIANS(K7))) * SIN(RADIANS(Config!$H$18)) * COS(RADIANS(Config!$H$18)),
              COS(RADIANS(K7)) * (-(D7 - V7) * SIN(RADIANS(L7)) + (E7 - W7) * COS(RADIANS(L7)))
              + SIN(RADIANS(K7)) * (
                Config!$C$17 * ((D7 - V7) * COS(RADIANS(L7)) + (E7 - W7) * SIN(RADIANS(L7)))
                - Config!$C$15 * (F7 - X7)
              )
              + (1 - COS(RADIANS(K7))) * (
                ((D7 - V7) * COS(RADIANS(L7)) + (E7 - W7) * SIN(RADIANS(L7))) * Config!$C$15
                + (-(D7 - V7) * SIN(RADIANS(L7)) + (E7 - W7) * COS(RADIANS(L7))) * Config!$C$16
                + (F7 - X7) * Config!$C$17
              ) * Config!$C$16
              + W7
            )
          )
        )
      )
    )
  )
)</f>
        <v>0</v>
      </c>
      <c r="P7" s="79">
        <f>IF(I7="","",
  IF(Config!$C$51=1, F7,
    IF(U7 &lt;= 2,
      -((-(D7 - V7) * SIN(RADIANS(L7)) + (E7 - W7) * COS(RADIANS(L7)))) * SIN(RADIANS(K7))
      + (F7 - X7) * COS(RADIANS(K7))
      + X7,
      IF(U7 = 3,
        -(((D7 - V7) * COS(RADIANS(L7)) + (E7 - W7) * SIN(RADIANS(L7)))) * SIN(RADIANS(K7))
        + (F7 - X7) * COS(RADIANS(K7))
        + X7,
        IF(U7 = 4,
          (F7 + X7) - Y7 * (1 - COS(RADIANS(K7))),
          IF(U7 = 5,
            F7 - Y7 * (1 - COS(RADIANS(K7))),
            IF(U7 = 6,
              (F7 + X7) - Y7 * SIN(RADIANS(Config!$H$18)) * SIN(RADIANS(Config!$H$18)) * (1 - COS(RADIANS(K7))),
              COS(RADIANS(K7)) * (F7 - X7)
              + SIN(RADIANS(K7)) * (
                Config!$C$15 * (-(D7 - V7) * SIN(RADIANS(L7)) + (E7 - W7) * COS(RADIANS(L7)))
                - Config!$C$16 * ((D7 - V7) * COS(RADIANS(L7)) + (E7 - W7) * SIN(RADIANS(L7)))
              )
              + (1 - COS(RADIANS(K7))) * (
                ((D7 - V7) * COS(RADIANS(L7)) + (E7 - W7) * SIN(RADIANS(L7))) * Config!$C$15
                + (-(D7 - V7) * SIN(RADIANS(L7)) + (E7 - W7) * COS(RADIANS(L7))) * Config!$C$16
                + (F7 - X7) * Config!$C$17
              ) * Config!$C$17
              + X7
            )
          )
        )
      )
    )
  )
)</f>
        <v>0</v>
      </c>
      <c r="Q7" s="47"/>
      <c r="R7" s="95" t="str">
        <f>IF(I7="","",
  IF(OR(
    K7 &lt; IF(Config!$C$4=1,Config!$C$34,
      IF(Config!$C$4=2,Config!$D$34,
        IF(Config!$C$4=3,Config!$E$34,
          IF(Config!$C$4=4,Config!$F$34,
            IF(Config!$C$4=5,Config!$G$34,
              IF(Config!$C$4=6,Config!$H$34,Config!$I$34)
            )
          )
        )
      )
    ),
    K7 &gt; IF(Config!$C$4=1,Config!$C$35,
      IF(Config!$C$4=2,Config!$D$35,
        IF(Config!$C$4=3,Config!$E$35,
          IF(Config!$C$4=4,Config!$F$35,
            IF(Config!$C$4=5,Config!$G$35,
              IF(Config!$C$4=6,Config!$H$35,Config!$I$35)
            )
          )
        )
      )
    )
  ),
    "⚠ OUT OF RANGE",
    "OK"
  )
)</f>
        <v>OK</v>
      </c>
      <c r="S7" s="95" t="str">
        <f>IF(I7="","",
  IF(OR(
    L7 &lt; IF(Config!$C$4=1,Config!$C$36,
      IF(Config!$C$4=2,Config!$D$36,
        IF(Config!$C$4=3,Config!$E$36,
          IF(Config!$C$4=4,Config!$F$36,
            IF(Config!$C$4=5,Config!$G$36,
              IF(Config!$C$4=6,Config!$H$36,Config!$I$36)
            )
          )
        )
      )
    ),
    L7 &gt; IF(Config!$C$4=1,Config!$C$37,
      IF(Config!$C$4=2,Config!$D$37,
        IF(Config!$C$4=3,Config!$E$37,
          IF(Config!$C$4=4,Config!$F$37,
            IF(Config!$C$4=5,Config!$G$37,
              IF(Config!$C$4=6,Config!$H$37,Config!$I$37)
            )
          )
        )
      )
    )
  ),
    "⚠ OUT OF RANGE",
    "OK"
  )
)</f>
        <v>OK</v>
      </c>
      <c r="T7" s="47"/>
      <c r="U7" s="79">
        <f>Config!$C$4</f>
        <v>1</v>
      </c>
      <c r="V7" s="79">
        <f>IF(U7=1, Config!$C$27,
  IF(U7=2, Config!$D$27,
    IF(U7=3, Config!$E$27,
      IF(U7=4, Config!$F$27,
        IF(U7=5, Config!$G$27,
          IF(U7=6, Config!$H$27,
            Config!$I$27
          )
        )
      )
    )
  )
)</f>
        <v>0</v>
      </c>
      <c r="W7" s="79">
        <f>IF(U7=1, Config!$C$28,
  IF(U7=2, Config!$D$28,
    IF(U7=3, Config!$E$28,
      IF(U7=4, Config!$F$28,
        IF(U7=5, Config!$G$28,
          IF(U7=6, Config!$H$28,
            Config!$I$28
          )
        )
      )
    )
  )
)</f>
        <v>0</v>
      </c>
      <c r="X7" s="79">
        <f>IF(U7=1, Config!$C$29,
  IF(U7=2, Config!$D$29,
    IF(U7=3, Config!$E$29,
      IF(U7=4, Config!$F$29,
        IF(U7=5, Config!$G$29,
          IF(U7=6, Config!$H$29,
            Config!$I$29
          )
        )
      )
    )
  )
)</f>
        <v>0</v>
      </c>
      <c r="Y7" s="79">
        <f>IF(U7=1, Config!$C$30,
  IF(U7=2, Config!$D$30,
    IF(U7=3, Config!$E$30,
      IF(U7=4, Config!$F$30,
        IF(U7=5, Config!$G$30,
          IF(U7=6, Config!$H$30,
            Config!$I$30
          )
        )
      )
    )
  )
)</f>
        <v>0</v>
      </c>
      <c r="AA7" s="79">
        <f t="shared" si="0"/>
        <v>-24.480825554530341</v>
      </c>
      <c r="AB7" s="79">
        <f t="shared" si="1"/>
        <v>-126.82841904823029</v>
      </c>
      <c r="AC7" s="72"/>
      <c r="AD7" s="79">
        <f>IF(I7="","",
  IF(Config!$C$51=1, D7,
    IF(U7&lt;=2,
      (D7 - V7)*COS(RADIANS(AB7)) + (E7 - W7)*SIN(RADIANS(AB7)) + V7,
      IF(U7=3,
        ((D7 - V7)*COS(RADIANS(AB7)) + (E7 - W7)*SIN(RADIANS(AB7)))*COS(RADIANS(AA7))
        + (F7 - X7)*SIN(RADIANS(AA7)) + V7,
        IF(U7=4,
          (D7*COS(RADIANS(AB7)) + E7*SIN(RADIANS(AB7)) + V7) + Y7*SIN(RADIANS(AA7)),
          IF(U7=5,
            D7 + Y7*SIN(RADIANS(AA7))*COS(RADIANS(AB7)),
            IF(U7=6,
              (D7*COS(RADIANS(AB7)) + E7*SIN(RADIANS(AB7)) + V7)
              + Y7*SIN(RADIANS(AA7))*SIN(RADIANS(Config!$H$18)),
              COS(RADIANS(AA7)) * (((D7 - V7)*COS(RADIANS(AB7)) + (E7 - W7)*SIN(RADIANS(AB7))))
              + SIN(RADIANS(AA7)) * (
                Config!$C$16*(F7 - X7)
                - Config!$C$17*(-(D7 - V7)*SIN(RADIANS(AB7)) + (E7 - W7)*COS(RADIANS(AB7)))
              )
              + (1 - COS(RADIANS(AA7))) * (
                ((D7 - V7)*COS(RADIANS(AB7)) + (E7 - W7)*SIN(RADIANS(AB7)))*Config!$C$15
                + (-(D7 - V7)*SIN(RADIANS(AB7)) + (E7 - W7)*COS(RADIANS(AB7)))*Config!$C$16
                + (F7 - X7)*Config!$C$17
              ) * Config!$C$15
              + V7
            )
          )
        )
      )
    )
  )
)</f>
        <v>0</v>
      </c>
      <c r="AE7" s="79">
        <f>IF(I7="","",
  IF(Config!$C$51=1, E7,
    IF(U7 &lt;= 2,
      (-(D7 - V7) * SIN(RADIANS(AB7)) + (E7 - W7) * COS(RADIANS(AB7))) * COS(RADIANS(AA7))
      + (F7 - X7) * SIN(RADIANS(AA7))
      + W7,
      IF(U7 = 3,
        (-(D7 - V7) * SIN(RADIANS(AB7)) + (E7 - W7) * COS(RADIANS(AB7)))
        + W7,
        IF(U7 = 4,
          -(D7) * SIN(RADIANS(AB7)) + (E7) * COS(RADIANS(AB7))
          + W7,
          IF(U7 = 5,
            E7 + Y7 * SIN(RADIANS(AA7)) * SIN(RADIANS(AB7)),
            IF(U7 = 6,
              (-(D7) * SIN(RADIANS(AB7)) + (E7) * COS(RADIANS(AB7)) + W7)
              + Y7 * (1 - COS(RADIANS(AA7))) * SIN(RADIANS(Config!$H$18)) * COS(RADIANS(Config!$H$18)),
              COS(RADIANS(AA7)) * (-(D7 - V7) * SIN(RADIANS(AB7)) + (E7 - W7) * COS(RADIANS(AB7)))
              + SIN(RADIANS(AA7)) * (
                Config!$C$17 * ((D7 - V7) * COS(RADIANS(AB7)) + (E7 - W7) * SIN(RADIANS(AB7)))
                - Config!$C$15 * (F7 - X7)
              )
              + (1 - COS(RADIANS(AA7))) * (
                ((D7 - V7) * COS(RADIANS(AB7)) + (E7 - W7) * SIN(RADIANS(AB7))) * Config!$C$15
                + (-(D7 - V7) * SIN(RADIANS(AB7)) + (E7 - W7) * COS(RADIANS(AB7))) * Config!$C$16
                + (F7 - X7) * Config!$C$17
              ) * Config!$C$16
              + W7
            )
          )
        )
      )
    )
  )
)</f>
        <v>0</v>
      </c>
      <c r="AF7" s="79">
        <f>IF(I7="","",
  IF(Config!$C$51=1, F7,
    IF(U7 &lt;= 2,
      -((-(D7 - V7) * SIN(RADIANS(AB7)) + (E7 - W7) * COS(RADIANS(AB7)))) * SIN(RADIANS(AA7))
      + (F7 - X7) * COS(RADIANS(AA7))
      + X7,
      IF(U7 = 3,
        -(((D7 - V7) * COS(RADIANS(AB7)) + (E7 - W7) * SIN(RADIANS(AB7)))) * SIN(RADIANS(AA7))
        + (F7 - X7) * COS(RADIANS(AA7))
        + X7,
        IF(U7 = 4,
          (F7 + X7) - Y7 * (1 - COS(RADIANS(AA7))),
          IF(U7 = 5,
            F7 - Y7 * (1 - COS(RADIANS(AA7))),
            IF(U7 = 6,
              (F7 + X7) - Y7 * SIN(RADIANS(Config!$H$18)) * SIN(RADIANS(Config!$H$18)) * (1 - COS(RADIANS(AA7))),
              COS(RADIANS(AA7)) * (F7 - X7)
              + SIN(RADIANS(AA7)) * (
                Config!$C$15 * (-(D7 - V7) * SIN(RADIANS(AB7)) + (E7 - W7) * COS(RADIANS(AB7)))
                - Config!$C$16 * ((D7 - V7) * COS(RADIANS(AB7)) + (E7 - W7) * SIN(RADIANS(AB7)))
              )
              + (1 - COS(RADIANS(AA7))) * (
                ((D7 - V7) * COS(RADIANS(AB7)) + (E7 - W7) * SIN(RADIANS(AB7))) * Config!$C$15
                + (-(D7 - V7) * SIN(RADIANS(AB7)) + (E7 - W7) * COS(RADIANS(AB7))) * Config!$C$16
                + (F7 - X7) * Config!$C$17
              ) * Config!$C$17
              + X7
            )
          )
        )
      )
    )
  )
)</f>
        <v>0</v>
      </c>
      <c r="AG7" s="72"/>
      <c r="AH7" s="96" t="str">
        <f>IF(I7="","",
  IF(OR(AA7="N/A", AA7=""),
    "N/A",
    IF(OR(
      AA7 &lt; IF(Config!$C$4=1,Config!$C$34,
        IF(Config!$C$4=2,Config!$D$34,
          IF(Config!$C$4=3,Config!$E$34,
            IF(Config!$C$4=4,Config!$F$34,
              IF(Config!$C$4=5,Config!$G$34,
                IF(Config!$C$4=6,Config!$H$34,Config!$I$34)
              )
            )
          )
        )
      ),
      AA7 &gt; IF(Config!$C$4=1,Config!$C$35,
        IF(Config!$C$4=2,Config!$D$35,
          IF(Config!$C$4=3,Config!$E$35,
            IF(Config!$C$4=4,Config!$F$35,
              IF(Config!$C$4=5,Config!$G$35,
                IF(Config!$C$4=6,Config!$H$35,Config!$I$35)
              )
            )
          )
        )
      )
    ),
    "⚠ OUT OF RANGE",
    "OK"
    )
  )
)</f>
        <v>OK</v>
      </c>
      <c r="AI7" s="96" t="str">
        <f>IF(I7="","",
  IF(OR(AB7="N/A", AB7=""),
    "N/A",
    IF(OR(
      AB7 &lt; IF(Config!$C$4=1,Config!$C$36,
        IF(Config!$C$4=2,Config!$D$36,
          IF(Config!$C$4=3,Config!$E$36,
            IF(Config!$C$4=4,Config!$F$36,
              IF(Config!$C$4=5,Config!$G$36,
                IF(Config!$C$4=6,Config!$H$36,Config!$I$36)
              )
            )
          )
        )
      ),
      AB7 &gt; IF(Config!$C$4=1,Config!$C$37,
        IF(Config!$C$4=2,Config!$D$37,
          IF(Config!$C$4=3,Config!$E$37,
            IF(Config!$C$4=4,Config!$F$37,
              IF(Config!$C$4=5,Config!$G$37,
                IF(Config!$C$4=6,Config!$H$37,Config!$I$37)
              )
            )
          )
        )
      )
    ),
    "⚠ OUT OF RANGE",
    "OK"
    )
  )
)</f>
        <v>OK</v>
      </c>
    </row>
    <row r="8" spans="1:35" ht="18" customHeight="1" x14ac:dyDescent="0.25">
      <c r="A8" s="43"/>
      <c r="B8" s="47">
        <v>4</v>
      </c>
      <c r="C8" s="47"/>
      <c r="D8" s="64">
        <v>0</v>
      </c>
      <c r="E8" s="64">
        <v>0</v>
      </c>
      <c r="F8" s="64">
        <v>0</v>
      </c>
      <c r="G8" s="64">
        <v>-4.87E-2</v>
      </c>
      <c r="H8" s="64">
        <v>-5.2200000000000003E-2</v>
      </c>
      <c r="I8" s="64">
        <v>0.99739999999999995</v>
      </c>
      <c r="J8" s="47"/>
      <c r="K8" s="79">
        <f>IF(
    I8="",
    "",
    IF(
        Config!$C$4&lt;=2,
        IF(
            AND(G8=0,H8=0),
            0,
            IF(
                H8&gt;=0,
                DEGREES(ACOS(I8)),
                -DEGREES(ACOS(I8))
            )
        ),
        IF(
            Config!$C$4=3,
            IF(
                AND(G8=0,H8=0),
                0,
                IF(
                    G8&gt;=0,
                    DEGREES(ACOS(I8)),
                    -DEGREES(ACOS(I8))
                )
            ),
            IF(
                Config!$C$4=4,
                IF(
                    AND(G8=0,H8=0),
                    0,
                    DEGREES(ATAN2(I8,G8))
                ),
                IF(
                    Config!$C$4=5,
                    IF(
                        AND(G8=0,H8=0),
                        0,
                        DEGREES(ACOS(I8))
                    ),
                    IF(
                        Config!$C$4=6,
                        IF(
                            AND(G8=0,H8=0),
                            0,
                            IF(
                                G8&gt;=0,
                                DEGREES(ACOS(2*I8-1)),
                                -DEGREES(ACOS(2*I8-1))
                            )
                        ),
                        IF(
                            AND(G8=0,H8=0),
                            0,
                            IF(
                                ((G8*Config!$C$16-H8*Config!$C$15))&lt;=0,
                                DEGREES(
                                    ACOS(
                                        MAX(
                                            -1,
                                            MIN(
                                                1,
                                                (I8-Config!$C$20)/Config!$C$21
                                            )
                                        )
                                    )
                                ),
                                -DEGREES(
                                    ACOS(
                                        MAX(
                                            -1,
                                            MIN(
                                                1,
                                                (I8-Config!$C$20)/Config!$C$21
                                            )
                                        )
                                    )
                                )
                            )
                        )
                    )
                )
            )
        )
    )
)</f>
        <v>-4.1325531345757351</v>
      </c>
      <c r="L8" s="79">
        <f>IF(
    I8="",
    "",
    IF(
        Config!$C$4&lt;=2,
        IF(
            AND(G8=0,H8=0),
            0,
            DEGREES(ATAN2(H8,G8))
        ),
        IF(
            Config!$C$4=3,
            IF(
                AND(G8=0,H8=0),
                0,
                DEGREES(ATAN2(G8,-H8))
            ),
            IF(
                Config!$C$4=4,
                0,
                IF(
                    Config!$C$4=5,
                    IF(
                        AND(G8=0,H8=0),
                        0,
                        DEGREES(ATAN2(H8,G8))
                    ),
                    IF(
                        Config!$C$4=6,
                        IF(
                            AND(G8=0,H8=0),
                            0,
                            DEGREES(ATAN2(H8,G8))
                        ),
                        0
                    )
                )
            )
        )
    )
)</f>
        <v>-136.98666853683338</v>
      </c>
      <c r="M8" s="47"/>
      <c r="N8" s="79">
        <f>IF(I8="","",
  IF(Config!$C$51=1, D8,
    IF(U8&lt;=2,
      (D8 - V8)*COS(RADIANS(L8)) + (E8 - W8)*SIN(RADIANS(L8)) + V8,
      IF(U8=3,
        ((D8 - V8)*COS(RADIANS(L8)) + (E8 - W8)*SIN(RADIANS(L8)))*COS(RADIANS(K8))
        + (F8 - X8)*SIN(RADIANS(K8)) + V8,
        IF(U8=4,
          (D8*COS(RADIANS(L8)) + E8*SIN(RADIANS(L8)) + V8) + Y8*SIN(RADIANS(K8)),
          IF(U8=5,
            D8 + Y8*SIN(RADIANS(K8))*COS(RADIANS(L8)),
            IF(U8=6,
              (D8*COS(RADIANS(L8)) + E8*SIN(RADIANS(L8)) + V8)
              + Y8*SIN(RADIANS(K8))*SIN(RADIANS(Config!$H$18)),
              COS(RADIANS(K8)) * (((D8 - V8)*COS(RADIANS(L8)) + (E8 - W8)*SIN(RADIANS(L8))))
              + SIN(RADIANS(K8)) * (
                Config!$C$16*(F8 - X8)
                - Config!$C$17*(-(D8 - V8)*SIN(RADIANS(L8)) + (E8 - W8)*COS(RADIANS(L8)))
              )
              + (1 - COS(RADIANS(K8))) * (
                ((D8 - V8)*COS(RADIANS(L8)) + (E8 - W8)*SIN(RADIANS(L8)))*Config!$C$15
                + (-(D8 - V8)*SIN(RADIANS(L8)) + (E8 - W8)*COS(RADIANS(L8)))*Config!$C$16
                + (F8 - X8)*Config!$C$17
              ) * Config!$C$15
              + V8
            )
          )
        )
      )
    )
  )
)</f>
        <v>0</v>
      </c>
      <c r="O8" s="79">
        <f>IF(I8="","",
  IF(Config!$C$51=1, E8,
    IF(U8 &lt;= 2,
      (-(D8 - V8) * SIN(RADIANS(L8)) + (E8 - W8) * COS(RADIANS(L8))) * COS(RADIANS(K8))
      + (F8 - X8) * SIN(RADIANS(K8))
      + W8,
      IF(U8 = 3,
        (-(D8 - V8) * SIN(RADIANS(L8)) + (E8 - W8) * COS(RADIANS(L8)))
        + W8,
        IF(U8 = 4,
          -(D8) * SIN(RADIANS(L8)) + (E8) * COS(RADIANS(L8))
          + W8,
          IF(U8 = 5,
            E8 + Y8 * SIN(RADIANS(K8)) * SIN(RADIANS(L8)),
            IF(U8 = 6,
              (-(D8) * SIN(RADIANS(L8)) + (E8) * COS(RADIANS(L8)) + W8)
              + Y8 * (1 - COS(RADIANS(K8))) * SIN(RADIANS(Config!$H$18)) * COS(RADIANS(Config!$H$18)),
              COS(RADIANS(K8)) * (-(D8 - V8) * SIN(RADIANS(L8)) + (E8 - W8) * COS(RADIANS(L8)))
              + SIN(RADIANS(K8)) * (
                Config!$C$17 * ((D8 - V8) * COS(RADIANS(L8)) + (E8 - W8) * SIN(RADIANS(L8)))
                - Config!$C$15 * (F8 - X8)
              )
              + (1 - COS(RADIANS(K8))) * (
                ((D8 - V8) * COS(RADIANS(L8)) + (E8 - W8) * SIN(RADIANS(L8))) * Config!$C$15
                + (-(D8 - V8) * SIN(RADIANS(L8)) + (E8 - W8) * COS(RADIANS(L8))) * Config!$C$16
                + (F8 - X8) * Config!$C$17
              ) * Config!$C$16
              + W8
            )
          )
        )
      )
    )
  )
)</f>
        <v>0</v>
      </c>
      <c r="P8" s="79">
        <f>IF(I8="","",
  IF(Config!$C$51=1, F8,
    IF(U8 &lt;= 2,
      -((-(D8 - V8) * SIN(RADIANS(L8)) + (E8 - W8) * COS(RADIANS(L8)))) * SIN(RADIANS(K8))
      + (F8 - X8) * COS(RADIANS(K8))
      + X8,
      IF(U8 = 3,
        -(((D8 - V8) * COS(RADIANS(L8)) + (E8 - W8) * SIN(RADIANS(L8)))) * SIN(RADIANS(K8))
        + (F8 - X8) * COS(RADIANS(K8))
        + X8,
        IF(U8 = 4,
          (F8 + X8) - Y8 * (1 - COS(RADIANS(K8))),
          IF(U8 = 5,
            F8 - Y8 * (1 - COS(RADIANS(K8))),
            IF(U8 = 6,
              (F8 + X8) - Y8 * SIN(RADIANS(Config!$H$18)) * SIN(RADIANS(Config!$H$18)) * (1 - COS(RADIANS(K8))),
              COS(RADIANS(K8)) * (F8 - X8)
              + SIN(RADIANS(K8)) * (
                Config!$C$15 * (-(D8 - V8) * SIN(RADIANS(L8)) + (E8 - W8) * COS(RADIANS(L8)))
                - Config!$C$16 * ((D8 - V8) * COS(RADIANS(L8)) + (E8 - W8) * SIN(RADIANS(L8)))
              )
              + (1 - COS(RADIANS(K8))) * (
                ((D8 - V8) * COS(RADIANS(L8)) + (E8 - W8) * SIN(RADIANS(L8))) * Config!$C$15
                + (-(D8 - V8) * SIN(RADIANS(L8)) + (E8 - W8) * COS(RADIANS(L8))) * Config!$C$16
                + (F8 - X8) * Config!$C$17
              ) * Config!$C$17
              + X8
            )
          )
        )
      )
    )
  )
)</f>
        <v>0</v>
      </c>
      <c r="Q8" s="47"/>
      <c r="R8" s="95" t="str">
        <f>IF(I8="","",
  IF(OR(
    K8 &lt; IF(Config!$C$4=1,Config!$C$34,
      IF(Config!$C$4=2,Config!$D$34,
        IF(Config!$C$4=3,Config!$E$34,
          IF(Config!$C$4=4,Config!$F$34,
            IF(Config!$C$4=5,Config!$G$34,
              IF(Config!$C$4=6,Config!$H$34,Config!$I$34)
            )
          )
        )
      )
    ),
    K8 &gt; IF(Config!$C$4=1,Config!$C$35,
      IF(Config!$C$4=2,Config!$D$35,
        IF(Config!$C$4=3,Config!$E$35,
          IF(Config!$C$4=4,Config!$F$35,
            IF(Config!$C$4=5,Config!$G$35,
              IF(Config!$C$4=6,Config!$H$35,Config!$I$35)
            )
          )
        )
      )
    )
  ),
    "⚠ OUT OF RANGE",
    "OK"
  )
)</f>
        <v>OK</v>
      </c>
      <c r="S8" s="95" t="str">
        <f>IF(I8="","",
  IF(OR(
    L8 &lt; IF(Config!$C$4=1,Config!$C$36,
      IF(Config!$C$4=2,Config!$D$36,
        IF(Config!$C$4=3,Config!$E$36,
          IF(Config!$C$4=4,Config!$F$36,
            IF(Config!$C$4=5,Config!$G$36,
              IF(Config!$C$4=6,Config!$H$36,Config!$I$36)
            )
          )
        )
      )
    ),
    L8 &gt; IF(Config!$C$4=1,Config!$C$37,
      IF(Config!$C$4=2,Config!$D$37,
        IF(Config!$C$4=3,Config!$E$37,
          IF(Config!$C$4=4,Config!$F$37,
            IF(Config!$C$4=5,Config!$G$37,
              IF(Config!$C$4=6,Config!$H$37,Config!$I$37)
            )
          )
        )
      )
    )
  ),
    "⚠ OUT OF RANGE",
    "OK"
  )
)</f>
        <v>OK</v>
      </c>
      <c r="T8" s="47"/>
      <c r="U8" s="79">
        <f>Config!$C$4</f>
        <v>1</v>
      </c>
      <c r="V8" s="79">
        <f>IF(U8=1, Config!$C$27,
  IF(U8=2, Config!$D$27,
    IF(U8=3, Config!$E$27,
      IF(U8=4, Config!$F$27,
        IF(U8=5, Config!$G$27,
          IF(U8=6, Config!$H$27,
            Config!$I$27
          )
        )
      )
    )
  )
)</f>
        <v>0</v>
      </c>
      <c r="W8" s="79">
        <f>IF(U8=1, Config!$C$28,
  IF(U8=2, Config!$D$28,
    IF(U8=3, Config!$E$28,
      IF(U8=4, Config!$F$28,
        IF(U8=5, Config!$G$28,
          IF(U8=6, Config!$H$28,
            Config!$I$28
          )
        )
      )
    )
  )
)</f>
        <v>0</v>
      </c>
      <c r="X8" s="79">
        <f>IF(U8=1, Config!$C$29,
  IF(U8=2, Config!$D$29,
    IF(U8=3, Config!$E$29,
      IF(U8=4, Config!$F$29,
        IF(U8=5, Config!$G$29,
          IF(U8=6, Config!$H$29,
            Config!$I$29
          )
        )
      )
    )
  )
)</f>
        <v>0</v>
      </c>
      <c r="Y8" s="79">
        <f>IF(U8=1, Config!$C$30,
  IF(U8=2, Config!$D$30,
    IF(U8=3, Config!$E$30,
      IF(U8=4, Config!$F$30,
        IF(U8=5, Config!$G$30,
          IF(U8=6, Config!$H$30,
            Config!$I$30
          )
        )
      )
    )
  )
)</f>
        <v>0</v>
      </c>
      <c r="AA8" s="79">
        <f t="shared" si="0"/>
        <v>4.1325531345757351</v>
      </c>
      <c r="AB8" s="79">
        <f t="shared" si="1"/>
        <v>43.013331463166622</v>
      </c>
      <c r="AC8" s="72"/>
      <c r="AD8" s="79">
        <f>IF(I8="","",
  IF(Config!$C$51=1, D8,
    IF(U8&lt;=2,
      (D8 - V8)*COS(RADIANS(AB8)) + (E8 - W8)*SIN(RADIANS(AB8)) + V8,
      IF(U8=3,
        ((D8 - V8)*COS(RADIANS(AB8)) + (E8 - W8)*SIN(RADIANS(AB8)))*COS(RADIANS(AA8))
        + (F8 - X8)*SIN(RADIANS(AA8)) + V8,
        IF(U8=4,
          (D8*COS(RADIANS(AB8)) + E8*SIN(RADIANS(AB8)) + V8) + Y8*SIN(RADIANS(AA8)),
          IF(U8=5,
            D8 + Y8*SIN(RADIANS(AA8))*COS(RADIANS(AB8)),
            IF(U8=6,
              (D8*COS(RADIANS(AB8)) + E8*SIN(RADIANS(AB8)) + V8)
              + Y8*SIN(RADIANS(AA8))*SIN(RADIANS(Config!$H$18)),
              COS(RADIANS(AA8)) * (((D8 - V8)*COS(RADIANS(AB8)) + (E8 - W8)*SIN(RADIANS(AB8))))
              + SIN(RADIANS(AA8)) * (
                Config!$C$16*(F8 - X8)
                - Config!$C$17*(-(D8 - V8)*SIN(RADIANS(AB8)) + (E8 - W8)*COS(RADIANS(AB8)))
              )
              + (1 - COS(RADIANS(AA8))) * (
                ((D8 - V8)*COS(RADIANS(AB8)) + (E8 - W8)*SIN(RADIANS(AB8)))*Config!$C$15
                + (-(D8 - V8)*SIN(RADIANS(AB8)) + (E8 - W8)*COS(RADIANS(AB8)))*Config!$C$16
                + (F8 - X8)*Config!$C$17
              ) * Config!$C$15
              + V8
            )
          )
        )
      )
    )
  )
)</f>
        <v>0</v>
      </c>
      <c r="AE8" s="79">
        <f>IF(I8="","",
  IF(Config!$C$51=1, E8,
    IF(U8 &lt;= 2,
      (-(D8 - V8) * SIN(RADIANS(AB8)) + (E8 - W8) * COS(RADIANS(AB8))) * COS(RADIANS(AA8))
      + (F8 - X8) * SIN(RADIANS(AA8))
      + W8,
      IF(U8 = 3,
        (-(D8 - V8) * SIN(RADIANS(AB8)) + (E8 - W8) * COS(RADIANS(AB8)))
        + W8,
        IF(U8 = 4,
          -(D8) * SIN(RADIANS(AB8)) + (E8) * COS(RADIANS(AB8))
          + W8,
          IF(U8 = 5,
            E8 + Y8 * SIN(RADIANS(AA8)) * SIN(RADIANS(AB8)),
            IF(U8 = 6,
              (-(D8) * SIN(RADIANS(AB8)) + (E8) * COS(RADIANS(AB8)) + W8)
              + Y8 * (1 - COS(RADIANS(AA8))) * SIN(RADIANS(Config!$H$18)) * COS(RADIANS(Config!$H$18)),
              COS(RADIANS(AA8)) * (-(D8 - V8) * SIN(RADIANS(AB8)) + (E8 - W8) * COS(RADIANS(AB8)))
              + SIN(RADIANS(AA8)) * (
                Config!$C$17 * ((D8 - V8) * COS(RADIANS(AB8)) + (E8 - W8) * SIN(RADIANS(AB8)))
                - Config!$C$15 * (F8 - X8)
              )
              + (1 - COS(RADIANS(AA8))) * (
                ((D8 - V8) * COS(RADIANS(AB8)) + (E8 - W8) * SIN(RADIANS(AB8))) * Config!$C$15
                + (-(D8 - V8) * SIN(RADIANS(AB8)) + (E8 - W8) * COS(RADIANS(AB8))) * Config!$C$16
                + (F8 - X8) * Config!$C$17
              ) * Config!$C$16
              + W8
            )
          )
        )
      )
    )
  )
)</f>
        <v>0</v>
      </c>
      <c r="AF8" s="79">
        <f>IF(I8="","",
  IF(Config!$C$51=1, F8,
    IF(U8 &lt;= 2,
      -((-(D8 - V8) * SIN(RADIANS(AB8)) + (E8 - W8) * COS(RADIANS(AB8)))) * SIN(RADIANS(AA8))
      + (F8 - X8) * COS(RADIANS(AA8))
      + X8,
      IF(U8 = 3,
        -(((D8 - V8) * COS(RADIANS(AB8)) + (E8 - W8) * SIN(RADIANS(AB8)))) * SIN(RADIANS(AA8))
        + (F8 - X8) * COS(RADIANS(AA8))
        + X8,
        IF(U8 = 4,
          (F8 + X8) - Y8 * (1 - COS(RADIANS(AA8))),
          IF(U8 = 5,
            F8 - Y8 * (1 - COS(RADIANS(AA8))),
            IF(U8 = 6,
              (F8 + X8) - Y8 * SIN(RADIANS(Config!$H$18)) * SIN(RADIANS(Config!$H$18)) * (1 - COS(RADIANS(AA8))),
              COS(RADIANS(AA8)) * (F8 - X8)
              + SIN(RADIANS(AA8)) * (
                Config!$C$15 * (-(D8 - V8) * SIN(RADIANS(AB8)) + (E8 - W8) * COS(RADIANS(AB8)))
                - Config!$C$16 * ((D8 - V8) * COS(RADIANS(AB8)) + (E8 - W8) * SIN(RADIANS(AB8)))
              )
              + (1 - COS(RADIANS(AA8))) * (
                ((D8 - V8) * COS(RADIANS(AB8)) + (E8 - W8) * SIN(RADIANS(AB8))) * Config!$C$15
                + (-(D8 - V8) * SIN(RADIANS(AB8)) + (E8 - W8) * COS(RADIANS(AB8))) * Config!$C$16
                + (F8 - X8) * Config!$C$17
              ) * Config!$C$17
              + X8
            )
          )
        )
      )
    )
  )
)</f>
        <v>0</v>
      </c>
      <c r="AG8" s="72"/>
      <c r="AH8" s="96" t="str">
        <f>IF(I8="","",
  IF(OR(AA8="N/A", AA8=""),
    "N/A",
    IF(OR(
      AA8 &lt; IF(Config!$C$4=1,Config!$C$34,
        IF(Config!$C$4=2,Config!$D$34,
          IF(Config!$C$4=3,Config!$E$34,
            IF(Config!$C$4=4,Config!$F$34,
              IF(Config!$C$4=5,Config!$G$34,
                IF(Config!$C$4=6,Config!$H$34,Config!$I$34)
              )
            )
          )
        )
      ),
      AA8 &gt; IF(Config!$C$4=1,Config!$C$35,
        IF(Config!$C$4=2,Config!$D$35,
          IF(Config!$C$4=3,Config!$E$35,
            IF(Config!$C$4=4,Config!$F$35,
              IF(Config!$C$4=5,Config!$G$35,
                IF(Config!$C$4=6,Config!$H$35,Config!$I$35)
              )
            )
          )
        )
      )
    ),
    "⚠ OUT OF RANGE",
    "OK"
    )
  )
)</f>
        <v>OK</v>
      </c>
      <c r="AI8" s="96" t="str">
        <f>IF(I8="","",
  IF(OR(AB8="N/A", AB8=""),
    "N/A",
    IF(OR(
      AB8 &lt; IF(Config!$C$4=1,Config!$C$36,
        IF(Config!$C$4=2,Config!$D$36,
          IF(Config!$C$4=3,Config!$E$36,
            IF(Config!$C$4=4,Config!$F$36,
              IF(Config!$C$4=5,Config!$G$36,
                IF(Config!$C$4=6,Config!$H$36,Config!$I$36)
              )
            )
          )
        )
      ),
      AB8 &gt; IF(Config!$C$4=1,Config!$C$37,
        IF(Config!$C$4=2,Config!$D$37,
          IF(Config!$C$4=3,Config!$E$37,
            IF(Config!$C$4=4,Config!$F$37,
              IF(Config!$C$4=5,Config!$G$37,
                IF(Config!$C$4=6,Config!$H$37,Config!$I$37)
              )
            )
          )
        )
      )
    ),
    "⚠ OUT OF RANGE",
    "OK"
    )
  )
)</f>
        <v>OK</v>
      </c>
    </row>
    <row r="9" spans="1:35" ht="18" customHeight="1" x14ac:dyDescent="0.25">
      <c r="A9" s="43"/>
      <c r="B9" s="47">
        <v>5</v>
      </c>
      <c r="C9" s="47"/>
      <c r="D9" s="64">
        <v>0</v>
      </c>
      <c r="E9" s="64">
        <v>0</v>
      </c>
      <c r="F9" s="64">
        <v>0</v>
      </c>
      <c r="G9" s="64">
        <v>0.50380000000000003</v>
      </c>
      <c r="H9" s="64">
        <v>0.31730000000000003</v>
      </c>
      <c r="I9" s="64">
        <v>0.8034</v>
      </c>
      <c r="J9" s="47"/>
      <c r="K9" s="79">
        <f>IF(
    I9="",
    "",
    IF(
        Config!$C$4&lt;=2,
        IF(
            AND(G9=0,H9=0),
            0,
            IF(
                H9&gt;=0,
                DEGREES(ACOS(I9)),
                -DEGREES(ACOS(I9))
            )
        ),
        IF(
            Config!$C$4=3,
            IF(
                AND(G9=0,H9=0),
                0,
                IF(
                    G9&gt;=0,
                    DEGREES(ACOS(I9)),
                    -DEGREES(ACOS(I9))
                )
            ),
            IF(
                Config!$C$4=4,
                IF(
                    AND(G9=0,H9=0),
                    0,
                    DEGREES(ATAN2(I9,G9))
                ),
                IF(
                    Config!$C$4=5,
                    IF(
                        AND(G9=0,H9=0),
                        0,
                        DEGREES(ACOS(I9))
                    ),
                    IF(
                        Config!$C$4=6,
                        IF(
                            AND(G9=0,H9=0),
                            0,
                            IF(
                                G9&gt;=0,
                                DEGREES(ACOS(2*I9-1)),
                                -DEGREES(ACOS(2*I9-1))
                            )
                        ),
                        IF(
                            AND(G9=0,H9=0),
                            0,
                            IF(
                                ((G9*Config!$C$16-H9*Config!$C$15))&lt;=0,
                                DEGREES(
                                    ACOS(
                                        MAX(
                                            -1,
                                            MIN(
                                                1,
                                                (I9-Config!$C$20)/Config!$C$21
                                            )
                                        )
                                    )
                                ),
                                -DEGREES(
                                    ACOS(
                                        MAX(
                                            -1,
                                            MIN(
                                                1,
                                                (I9-Config!$C$20)/Config!$C$21
                                            )
                                        )
                                    )
                                )
                            )
                        )
                    )
                )
            )
        )
    )
)</f>
        <v>36.543983884446511</v>
      </c>
      <c r="L9" s="79">
        <f>IF(
    I9="",
    "",
    IF(
        Config!$C$4&lt;=2,
        IF(
            AND(G9=0,H9=0),
            0,
            DEGREES(ATAN2(H9,G9))
        ),
        IF(
            Config!$C$4=3,
            IF(
                AND(G9=0,H9=0),
                0,
                DEGREES(ATAN2(G9,-H9))
            ),
            IF(
                Config!$C$4=4,
                0,
                IF(
                    Config!$C$4=5,
                    IF(
                        AND(G9=0,H9=0),
                        0,
                        DEGREES(ATAN2(H9,G9))
                    ),
                    IF(
                        Config!$C$4=6,
                        IF(
                            AND(G9=0,H9=0),
                            0,
                            DEGREES(ATAN2(H9,G9))
                        ),
                        0
                    )
                )
            )
        )
    )
)</f>
        <v>57.796725837354749</v>
      </c>
      <c r="M9" s="47"/>
      <c r="N9" s="79">
        <f>IF(I9="","",
  IF(Config!$C$51=1, D9,
    IF(U9&lt;=2,
      (D9 - V9)*COS(RADIANS(L9)) + (E9 - W9)*SIN(RADIANS(L9)) + V9,
      IF(U9=3,
        ((D9 - V9)*COS(RADIANS(L9)) + (E9 - W9)*SIN(RADIANS(L9)))*COS(RADIANS(K9))
        + (F9 - X9)*SIN(RADIANS(K9)) + V9,
        IF(U9=4,
          (D9*COS(RADIANS(L9)) + E9*SIN(RADIANS(L9)) + V9) + Y9*SIN(RADIANS(K9)),
          IF(U9=5,
            D9 + Y9*SIN(RADIANS(K9))*COS(RADIANS(L9)),
            IF(U9=6,
              (D9*COS(RADIANS(L9)) + E9*SIN(RADIANS(L9)) + V9)
              + Y9*SIN(RADIANS(K9))*SIN(RADIANS(Config!$H$18)),
              COS(RADIANS(K9)) * (((D9 - V9)*COS(RADIANS(L9)) + (E9 - W9)*SIN(RADIANS(L9))))
              + SIN(RADIANS(K9)) * (
                Config!$C$16*(F9 - X9)
                - Config!$C$17*(-(D9 - V9)*SIN(RADIANS(L9)) + (E9 - W9)*COS(RADIANS(L9)))
              )
              + (1 - COS(RADIANS(K9))) * (
                ((D9 - V9)*COS(RADIANS(L9)) + (E9 - W9)*SIN(RADIANS(L9)))*Config!$C$15
                + (-(D9 - V9)*SIN(RADIANS(L9)) + (E9 - W9)*COS(RADIANS(L9)))*Config!$C$16
                + (F9 - X9)*Config!$C$17
              ) * Config!$C$15
              + V9
            )
          )
        )
      )
    )
  )
)</f>
        <v>0</v>
      </c>
      <c r="O9" s="79">
        <f>IF(I9="","",
  IF(Config!$C$51=1, E9,
    IF(U9 &lt;= 2,
      (-(D9 - V9) * SIN(RADIANS(L9)) + (E9 - W9) * COS(RADIANS(L9))) * COS(RADIANS(K9))
      + (F9 - X9) * SIN(RADIANS(K9))
      + W9,
      IF(U9 = 3,
        (-(D9 - V9) * SIN(RADIANS(L9)) + (E9 - W9) * COS(RADIANS(L9)))
        + W9,
        IF(U9 = 4,
          -(D9) * SIN(RADIANS(L9)) + (E9) * COS(RADIANS(L9))
          + W9,
          IF(U9 = 5,
            E9 + Y9 * SIN(RADIANS(K9)) * SIN(RADIANS(L9)),
            IF(U9 = 6,
              (-(D9) * SIN(RADIANS(L9)) + (E9) * COS(RADIANS(L9)) + W9)
              + Y9 * (1 - COS(RADIANS(K9))) * SIN(RADIANS(Config!$H$18)) * COS(RADIANS(Config!$H$18)),
              COS(RADIANS(K9)) * (-(D9 - V9) * SIN(RADIANS(L9)) + (E9 - W9) * COS(RADIANS(L9)))
              + SIN(RADIANS(K9)) * (
                Config!$C$17 * ((D9 - V9) * COS(RADIANS(L9)) + (E9 - W9) * SIN(RADIANS(L9)))
                - Config!$C$15 * (F9 - X9)
              )
              + (1 - COS(RADIANS(K9))) * (
                ((D9 - V9) * COS(RADIANS(L9)) + (E9 - W9) * SIN(RADIANS(L9))) * Config!$C$15
                + (-(D9 - V9) * SIN(RADIANS(L9)) + (E9 - W9) * COS(RADIANS(L9))) * Config!$C$16
                + (F9 - X9) * Config!$C$17
              ) * Config!$C$16
              + W9
            )
          )
        )
      )
    )
  )
)</f>
        <v>0</v>
      </c>
      <c r="P9" s="79">
        <f>IF(I9="","",
  IF(Config!$C$51=1, F9,
    IF(U9 &lt;= 2,
      -((-(D9 - V9) * SIN(RADIANS(L9)) + (E9 - W9) * COS(RADIANS(L9)))) * SIN(RADIANS(K9))
      + (F9 - X9) * COS(RADIANS(K9))
      + X9,
      IF(U9 = 3,
        -(((D9 - V9) * COS(RADIANS(L9)) + (E9 - W9) * SIN(RADIANS(L9)))) * SIN(RADIANS(K9))
        + (F9 - X9) * COS(RADIANS(K9))
        + X9,
        IF(U9 = 4,
          (F9 + X9) - Y9 * (1 - COS(RADIANS(K9))),
          IF(U9 = 5,
            F9 - Y9 * (1 - COS(RADIANS(K9))),
            IF(U9 = 6,
              (F9 + X9) - Y9 * SIN(RADIANS(Config!$H$18)) * SIN(RADIANS(Config!$H$18)) * (1 - COS(RADIANS(K9))),
              COS(RADIANS(K9)) * (F9 - X9)
              + SIN(RADIANS(K9)) * (
                Config!$C$15 * (-(D9 - V9) * SIN(RADIANS(L9)) + (E9 - W9) * COS(RADIANS(L9)))
                - Config!$C$16 * ((D9 - V9) * COS(RADIANS(L9)) + (E9 - W9) * SIN(RADIANS(L9)))
              )
              + (1 - COS(RADIANS(K9))) * (
                ((D9 - V9) * COS(RADIANS(L9)) + (E9 - W9) * SIN(RADIANS(L9))) * Config!$C$15
                + (-(D9 - V9) * SIN(RADIANS(L9)) + (E9 - W9) * COS(RADIANS(L9))) * Config!$C$16
                + (F9 - X9) * Config!$C$17
              ) * Config!$C$17
              + X9
            )
          )
        )
      )
    )
  )
)</f>
        <v>0</v>
      </c>
      <c r="Q9" s="47"/>
      <c r="R9" s="95" t="str">
        <f>IF(I9="","",
  IF(OR(
    K9 &lt; IF(Config!$C$4=1,Config!$C$34,
      IF(Config!$C$4=2,Config!$D$34,
        IF(Config!$C$4=3,Config!$E$34,
          IF(Config!$C$4=4,Config!$F$34,
            IF(Config!$C$4=5,Config!$G$34,
              IF(Config!$C$4=6,Config!$H$34,Config!$I$34)
            )
          )
        )
      )
    ),
    K9 &gt; IF(Config!$C$4=1,Config!$C$35,
      IF(Config!$C$4=2,Config!$D$35,
        IF(Config!$C$4=3,Config!$E$35,
          IF(Config!$C$4=4,Config!$F$35,
            IF(Config!$C$4=5,Config!$G$35,
              IF(Config!$C$4=6,Config!$H$35,Config!$I$35)
            )
          )
        )
      )
    )
  ),
    "⚠ OUT OF RANGE",
    "OK"
  )
)</f>
        <v>⚠ OUT OF RANGE</v>
      </c>
      <c r="S9" s="95" t="str">
        <f>IF(I9="","",
  IF(OR(
    L9 &lt; IF(Config!$C$4=1,Config!$C$36,
      IF(Config!$C$4=2,Config!$D$36,
        IF(Config!$C$4=3,Config!$E$36,
          IF(Config!$C$4=4,Config!$F$36,
            IF(Config!$C$4=5,Config!$G$36,
              IF(Config!$C$4=6,Config!$H$36,Config!$I$36)
            )
          )
        )
      )
    ),
    L9 &gt; IF(Config!$C$4=1,Config!$C$37,
      IF(Config!$C$4=2,Config!$D$37,
        IF(Config!$C$4=3,Config!$E$37,
          IF(Config!$C$4=4,Config!$F$37,
            IF(Config!$C$4=5,Config!$G$37,
              IF(Config!$C$4=6,Config!$H$37,Config!$I$37)
            )
          )
        )
      )
    )
  ),
    "⚠ OUT OF RANGE",
    "OK"
  )
)</f>
        <v>OK</v>
      </c>
      <c r="T9" s="47"/>
      <c r="U9" s="79">
        <f>Config!$C$4</f>
        <v>1</v>
      </c>
      <c r="V9" s="79">
        <f>IF(U9=1, Config!$C$27,
  IF(U9=2, Config!$D$27,
    IF(U9=3, Config!$E$27,
      IF(U9=4, Config!$F$27,
        IF(U9=5, Config!$G$27,
          IF(U9=6, Config!$H$27,
            Config!$I$27
          )
        )
      )
    )
  )
)</f>
        <v>0</v>
      </c>
      <c r="W9" s="79">
        <f>IF(U9=1, Config!$C$28,
  IF(U9=2, Config!$D$28,
    IF(U9=3, Config!$E$28,
      IF(U9=4, Config!$F$28,
        IF(U9=5, Config!$G$28,
          IF(U9=6, Config!$H$28,
            Config!$I$28
          )
        )
      )
    )
  )
)</f>
        <v>0</v>
      </c>
      <c r="X9" s="79">
        <f>IF(U9=1, Config!$C$29,
  IF(U9=2, Config!$D$29,
    IF(U9=3, Config!$E$29,
      IF(U9=4, Config!$F$29,
        IF(U9=5, Config!$G$29,
          IF(U9=6, Config!$H$29,
            Config!$I$29
          )
        )
      )
    )
  )
)</f>
        <v>0</v>
      </c>
      <c r="Y9" s="79">
        <f>IF(U9=1, Config!$C$30,
  IF(U9=2, Config!$D$30,
    IF(U9=3, Config!$E$30,
      IF(U9=4, Config!$F$30,
        IF(U9=5, Config!$G$30,
          IF(U9=6, Config!$H$30,
            Config!$I$30
          )
        )
      )
    )
  )
)</f>
        <v>0</v>
      </c>
      <c r="AA9" s="79">
        <f t="shared" si="0"/>
        <v>-36.543983884446511</v>
      </c>
      <c r="AB9" s="79">
        <f t="shared" si="1"/>
        <v>-122.20327416264524</v>
      </c>
      <c r="AC9" s="72"/>
      <c r="AD9" s="79">
        <f>IF(I9="","",
  IF(Config!$C$51=1, D9,
    IF(U9&lt;=2,
      (D9 - V9)*COS(RADIANS(AB9)) + (E9 - W9)*SIN(RADIANS(AB9)) + V9,
      IF(U9=3,
        ((D9 - V9)*COS(RADIANS(AB9)) + (E9 - W9)*SIN(RADIANS(AB9)))*COS(RADIANS(AA9))
        + (F9 - X9)*SIN(RADIANS(AA9)) + V9,
        IF(U9=4,
          (D9*COS(RADIANS(AB9)) + E9*SIN(RADIANS(AB9)) + V9) + Y9*SIN(RADIANS(AA9)),
          IF(U9=5,
            D9 + Y9*SIN(RADIANS(AA9))*COS(RADIANS(AB9)),
            IF(U9=6,
              (D9*COS(RADIANS(AB9)) + E9*SIN(RADIANS(AB9)) + V9)
              + Y9*SIN(RADIANS(AA9))*SIN(RADIANS(Config!$H$18)),
              COS(RADIANS(AA9)) * (((D9 - V9)*COS(RADIANS(AB9)) + (E9 - W9)*SIN(RADIANS(AB9))))
              + SIN(RADIANS(AA9)) * (
                Config!$C$16*(F9 - X9)
                - Config!$C$17*(-(D9 - V9)*SIN(RADIANS(AB9)) + (E9 - W9)*COS(RADIANS(AB9)))
              )
              + (1 - COS(RADIANS(AA9))) * (
                ((D9 - V9)*COS(RADIANS(AB9)) + (E9 - W9)*SIN(RADIANS(AB9)))*Config!$C$15
                + (-(D9 - V9)*SIN(RADIANS(AB9)) + (E9 - W9)*COS(RADIANS(AB9)))*Config!$C$16
                + (F9 - X9)*Config!$C$17
              ) * Config!$C$15
              + V9
            )
          )
        )
      )
    )
  )
)</f>
        <v>0</v>
      </c>
      <c r="AE9" s="79">
        <f>IF(I9="","",
  IF(Config!$C$51=1, E9,
    IF(U9 &lt;= 2,
      (-(D9 - V9) * SIN(RADIANS(AB9)) + (E9 - W9) * COS(RADIANS(AB9))) * COS(RADIANS(AA9))
      + (F9 - X9) * SIN(RADIANS(AA9))
      + W9,
      IF(U9 = 3,
        (-(D9 - V9) * SIN(RADIANS(AB9)) + (E9 - W9) * COS(RADIANS(AB9)))
        + W9,
        IF(U9 = 4,
          -(D9) * SIN(RADIANS(AB9)) + (E9) * COS(RADIANS(AB9))
          + W9,
          IF(U9 = 5,
            E9 + Y9 * SIN(RADIANS(AA9)) * SIN(RADIANS(AB9)),
            IF(U9 = 6,
              (-(D9) * SIN(RADIANS(AB9)) + (E9) * COS(RADIANS(AB9)) + W9)
              + Y9 * (1 - COS(RADIANS(AA9))) * SIN(RADIANS(Config!$H$18)) * COS(RADIANS(Config!$H$18)),
              COS(RADIANS(AA9)) * (-(D9 - V9) * SIN(RADIANS(AB9)) + (E9 - W9) * COS(RADIANS(AB9)))
              + SIN(RADIANS(AA9)) * (
                Config!$C$17 * ((D9 - V9) * COS(RADIANS(AB9)) + (E9 - W9) * SIN(RADIANS(AB9)))
                - Config!$C$15 * (F9 - X9)
              )
              + (1 - COS(RADIANS(AA9))) * (
                ((D9 - V9) * COS(RADIANS(AB9)) + (E9 - W9) * SIN(RADIANS(AB9))) * Config!$C$15
                + (-(D9 - V9) * SIN(RADIANS(AB9)) + (E9 - W9) * COS(RADIANS(AB9))) * Config!$C$16
                + (F9 - X9) * Config!$C$17
              ) * Config!$C$16
              + W9
            )
          )
        )
      )
    )
  )
)</f>
        <v>0</v>
      </c>
      <c r="AF9" s="79">
        <f>IF(I9="","",
  IF(Config!$C$51=1, F9,
    IF(U9 &lt;= 2,
      -((-(D9 - V9) * SIN(RADIANS(AB9)) + (E9 - W9) * COS(RADIANS(AB9)))) * SIN(RADIANS(AA9))
      + (F9 - X9) * COS(RADIANS(AA9))
      + X9,
      IF(U9 = 3,
        -(((D9 - V9) * COS(RADIANS(AB9)) + (E9 - W9) * SIN(RADIANS(AB9)))) * SIN(RADIANS(AA9))
        + (F9 - X9) * COS(RADIANS(AA9))
        + X9,
        IF(U9 = 4,
          (F9 + X9) - Y9 * (1 - COS(RADIANS(AA9))),
          IF(U9 = 5,
            F9 - Y9 * (1 - COS(RADIANS(AA9))),
            IF(U9 = 6,
              (F9 + X9) - Y9 * SIN(RADIANS(Config!$H$18)) * SIN(RADIANS(Config!$H$18)) * (1 - COS(RADIANS(AA9))),
              COS(RADIANS(AA9)) * (F9 - X9)
              + SIN(RADIANS(AA9)) * (
                Config!$C$15 * (-(D9 - V9) * SIN(RADIANS(AB9)) + (E9 - W9) * COS(RADIANS(AB9)))
                - Config!$C$16 * ((D9 - V9) * COS(RADIANS(AB9)) + (E9 - W9) * SIN(RADIANS(AB9)))
              )
              + (1 - COS(RADIANS(AA9))) * (
                ((D9 - V9) * COS(RADIANS(AB9)) + (E9 - W9) * SIN(RADIANS(AB9))) * Config!$C$15
                + (-(D9 - V9) * SIN(RADIANS(AB9)) + (E9 - W9) * COS(RADIANS(AB9))) * Config!$C$16
                + (F9 - X9) * Config!$C$17
              ) * Config!$C$17
              + X9
            )
          )
        )
      )
    )
  )
)</f>
        <v>0</v>
      </c>
      <c r="AG9" s="72"/>
      <c r="AH9" s="96" t="str">
        <f>IF(I9="","",
  IF(OR(AA9="N/A", AA9=""),
    "N/A",
    IF(OR(
      AA9 &lt; IF(Config!$C$4=1,Config!$C$34,
        IF(Config!$C$4=2,Config!$D$34,
          IF(Config!$C$4=3,Config!$E$34,
            IF(Config!$C$4=4,Config!$F$34,
              IF(Config!$C$4=5,Config!$G$34,
                IF(Config!$C$4=6,Config!$H$34,Config!$I$34)
              )
            )
          )
        )
      ),
      AA9 &gt; IF(Config!$C$4=1,Config!$C$35,
        IF(Config!$C$4=2,Config!$D$35,
          IF(Config!$C$4=3,Config!$E$35,
            IF(Config!$C$4=4,Config!$F$35,
              IF(Config!$C$4=5,Config!$G$35,
                IF(Config!$C$4=6,Config!$H$35,Config!$I$35)
              )
            )
          )
        )
      )
    ),
    "⚠ OUT OF RANGE",
    "OK"
    )
  )
)</f>
        <v>OK</v>
      </c>
      <c r="AI9" s="96" t="str">
        <f>IF(I9="","",
  IF(OR(AB9="N/A", AB9=""),
    "N/A",
    IF(OR(
      AB9 &lt; IF(Config!$C$4=1,Config!$C$36,
        IF(Config!$C$4=2,Config!$D$36,
          IF(Config!$C$4=3,Config!$E$36,
            IF(Config!$C$4=4,Config!$F$36,
              IF(Config!$C$4=5,Config!$G$36,
                IF(Config!$C$4=6,Config!$H$36,Config!$I$36)
              )
            )
          )
        )
      ),
      AB9 &gt; IF(Config!$C$4=1,Config!$C$37,
        IF(Config!$C$4=2,Config!$D$37,
          IF(Config!$C$4=3,Config!$E$37,
            IF(Config!$C$4=4,Config!$F$37,
              IF(Config!$C$4=5,Config!$G$37,
                IF(Config!$C$4=6,Config!$H$37,Config!$I$37)
              )
            )
          )
        )
      )
    ),
    "⚠ OUT OF RANGE",
    "OK"
    )
  )
)</f>
        <v>OK</v>
      </c>
    </row>
    <row r="10" spans="1:35" ht="18" customHeight="1" x14ac:dyDescent="0.25">
      <c r="A10" s="43"/>
      <c r="B10" s="47">
        <v>6</v>
      </c>
      <c r="C10" s="71"/>
      <c r="D10" s="64">
        <v>0</v>
      </c>
      <c r="E10" s="64">
        <v>0</v>
      </c>
      <c r="F10" s="64">
        <v>0</v>
      </c>
      <c r="G10" s="64">
        <v>0.90900000000000003</v>
      </c>
      <c r="H10" s="64">
        <v>0.25600000000000001</v>
      </c>
      <c r="I10" s="64">
        <v>0.32890000000000003</v>
      </c>
      <c r="J10" s="47"/>
      <c r="K10" s="79">
        <f>IF(
    I10="",
    "",
    IF(
        Config!$C$4&lt;=2,
        IF(
            AND(G10=0,H10=0),
            0,
            IF(
                H10&gt;=0,
                DEGREES(ACOS(I10)),
                -DEGREES(ACOS(I10))
            )
        ),
        IF(
            Config!$C$4=3,
            IF(
                AND(G10=0,H10=0),
                0,
                IF(
                    G10&gt;=0,
                    DEGREES(ACOS(I10)),
                    -DEGREES(ACOS(I10))
                )
            ),
            IF(
                Config!$C$4=4,
                IF(
                    AND(G10=0,H10=0),
                    0,
                    DEGREES(ATAN2(I10,G10))
                ),
                IF(
                    Config!$C$4=5,
                    IF(
                        AND(G10=0,H10=0),
                        0,
                        DEGREES(ACOS(I10))
                    ),
                    IF(
                        Config!$C$4=6,
                        IF(
                            AND(G10=0,H10=0),
                            0,
                            IF(
                                G10&gt;=0,
                                DEGREES(ACOS(2*I10-1)),
                                -DEGREES(ACOS(2*I10-1))
                            )
                        ),
                        IF(
                            AND(G10=0,H10=0),
                            0,
                            IF(
                                ((G10*Config!$C$16-H10*Config!$C$15))&lt;=0,
                                DEGREES(
                                    ACOS(
                                        MAX(
                                            -1,
                                            MIN(
                                                1,
                                                (I10-Config!$C$20)/Config!$C$21
                                            )
                                        )
                                    )
                                ),
                                -DEGREES(
                                    ACOS(
                                        MAX(
                                            -1,
                                            MIN(
                                                1,
                                                (I10-Config!$C$20)/Config!$C$21
                                            )
                                        )
                                    )
                                )
                            )
                        )
                    )
                )
            )
        )
    )
)</f>
        <v>70.797976428758062</v>
      </c>
      <c r="L10" s="79">
        <f>IF(
    I10="",
    "",
    IF(
        Config!$C$4&lt;=2,
        IF(
            AND(G10=0,H10=0),
            0,
            DEGREES(ATAN2(H10,G10))
        ),
        IF(
            Config!$C$4=3,
            IF(
                AND(G10=0,H10=0),
                0,
                DEGREES(ATAN2(G10,-H10))
            ),
            IF(
                Config!$C$4=4,
                0,
                IF(
                    Config!$C$4=5,
                    IF(
                        AND(G10=0,H10=0),
                        0,
                        DEGREES(ATAN2(H10,G10))
                    ),
                    IF(
                        Config!$C$4=6,
                        IF(
                            AND(G10=0,H10=0),
                            0,
                            DEGREES(ATAN2(H10,G10))
                        ),
                        0
                    )
                )
            )
        )
    )
)</f>
        <v>74.271285286782913</v>
      </c>
      <c r="M10" s="47"/>
      <c r="N10" s="79">
        <f>IF(I10="","",
  IF(Config!$C$51=1, D10,
    IF(U10&lt;=2,
      (D10 - V10)*COS(RADIANS(L10)) + (E10 - W10)*SIN(RADIANS(L10)) + V10,
      IF(U10=3,
        ((D10 - V10)*COS(RADIANS(L10)) + (E10 - W10)*SIN(RADIANS(L10)))*COS(RADIANS(K10))
        + (F10 - X10)*SIN(RADIANS(K10)) + V10,
        IF(U10=4,
          (D10*COS(RADIANS(L10)) + E10*SIN(RADIANS(L10)) + V10) + Y10*SIN(RADIANS(K10)),
          IF(U10=5,
            D10 + Y10*SIN(RADIANS(K10))*COS(RADIANS(L10)),
            IF(U10=6,
              (D10*COS(RADIANS(L10)) + E10*SIN(RADIANS(L10)) + V10)
              + Y10*SIN(RADIANS(K10))*SIN(RADIANS(Config!$H$18)),
              COS(RADIANS(K10)) * (((D10 - V10)*COS(RADIANS(L10)) + (E10 - W10)*SIN(RADIANS(L10))))
              + SIN(RADIANS(K10)) * (
                Config!$C$16*(F10 - X10)
                - Config!$C$17*(-(D10 - V10)*SIN(RADIANS(L10)) + (E10 - W10)*COS(RADIANS(L10)))
              )
              + (1 - COS(RADIANS(K10))) * (
                ((D10 - V10)*COS(RADIANS(L10)) + (E10 - W10)*SIN(RADIANS(L10)))*Config!$C$15
                + (-(D10 - V10)*SIN(RADIANS(L10)) + (E10 - W10)*COS(RADIANS(L10)))*Config!$C$16
                + (F10 - X10)*Config!$C$17
              ) * Config!$C$15
              + V10
            )
          )
        )
      )
    )
  )
)</f>
        <v>0</v>
      </c>
      <c r="O10" s="79">
        <f>IF(I10="","",
  IF(Config!$C$51=1, E10,
    IF(U10 &lt;= 2,
      (-(D10 - V10) * SIN(RADIANS(L10)) + (E10 - W10) * COS(RADIANS(L10))) * COS(RADIANS(K10))
      + (F10 - X10) * SIN(RADIANS(K10))
      + W10,
      IF(U10 = 3,
        (-(D10 - V10) * SIN(RADIANS(L10)) + (E10 - W10) * COS(RADIANS(L10)))
        + W10,
        IF(U10 = 4,
          -(D10) * SIN(RADIANS(L10)) + (E10) * COS(RADIANS(L10))
          + W10,
          IF(U10 = 5,
            E10 + Y10 * SIN(RADIANS(K10)) * SIN(RADIANS(L10)),
            IF(U10 = 6,
              (-(D10) * SIN(RADIANS(L10)) + (E10) * COS(RADIANS(L10)) + W10)
              + Y10 * (1 - COS(RADIANS(K10))) * SIN(RADIANS(Config!$H$18)) * COS(RADIANS(Config!$H$18)),
              COS(RADIANS(K10)) * (-(D10 - V10) * SIN(RADIANS(L10)) + (E10 - W10) * COS(RADIANS(L10)))
              + SIN(RADIANS(K10)) * (
                Config!$C$17 * ((D10 - V10) * COS(RADIANS(L10)) + (E10 - W10) * SIN(RADIANS(L10)))
                - Config!$C$15 * (F10 - X10)
              )
              + (1 - COS(RADIANS(K10))) * (
                ((D10 - V10) * COS(RADIANS(L10)) + (E10 - W10) * SIN(RADIANS(L10))) * Config!$C$15
                + (-(D10 - V10) * SIN(RADIANS(L10)) + (E10 - W10) * COS(RADIANS(L10))) * Config!$C$16
                + (F10 - X10) * Config!$C$17
              ) * Config!$C$16
              + W10
            )
          )
        )
      )
    )
  )
)</f>
        <v>0</v>
      </c>
      <c r="P10" s="79">
        <f>IF(I10="","",
  IF(Config!$C$51=1, F10,
    IF(U10 &lt;= 2,
      -((-(D10 - V10) * SIN(RADIANS(L10)) + (E10 - W10) * COS(RADIANS(L10)))) * SIN(RADIANS(K10))
      + (F10 - X10) * COS(RADIANS(K10))
      + X10,
      IF(U10 = 3,
        -(((D10 - V10) * COS(RADIANS(L10)) + (E10 - W10) * SIN(RADIANS(L10)))) * SIN(RADIANS(K10))
        + (F10 - X10) * COS(RADIANS(K10))
        + X10,
        IF(U10 = 4,
          (F10 + X10) - Y10 * (1 - COS(RADIANS(K10))),
          IF(U10 = 5,
            F10 - Y10 * (1 - COS(RADIANS(K10))),
            IF(U10 = 6,
              (F10 + X10) - Y10 * SIN(RADIANS(Config!$H$18)) * SIN(RADIANS(Config!$H$18)) * (1 - COS(RADIANS(K10))),
              COS(RADIANS(K10)) * (F10 - X10)
              + SIN(RADIANS(K10)) * (
                Config!$C$15 * (-(D10 - V10) * SIN(RADIANS(L10)) + (E10 - W10) * COS(RADIANS(L10)))
                - Config!$C$16 * ((D10 - V10) * COS(RADIANS(L10)) + (E10 - W10) * SIN(RADIANS(L10)))
              )
              + (1 - COS(RADIANS(K10))) * (
                ((D10 - V10) * COS(RADIANS(L10)) + (E10 - W10) * SIN(RADIANS(L10))) * Config!$C$15
                + (-(D10 - V10) * SIN(RADIANS(L10)) + (E10 - W10) * COS(RADIANS(L10))) * Config!$C$16
                + (F10 - X10) * Config!$C$17
              ) * Config!$C$17
              + X10
            )
          )
        )
      )
    )
  )
)</f>
        <v>0</v>
      </c>
      <c r="Q10" s="47"/>
      <c r="R10" s="95" t="str">
        <f>IF(I10="","",
  IF(OR(
    K10 &lt; IF(Config!$C$4=1,Config!$C$34,
      IF(Config!$C$4=2,Config!$D$34,
        IF(Config!$C$4=3,Config!$E$34,
          IF(Config!$C$4=4,Config!$F$34,
            IF(Config!$C$4=5,Config!$G$34,
              IF(Config!$C$4=6,Config!$H$34,Config!$I$34)
            )
          )
        )
      )
    ),
    K10 &gt; IF(Config!$C$4=1,Config!$C$35,
      IF(Config!$C$4=2,Config!$D$35,
        IF(Config!$C$4=3,Config!$E$35,
          IF(Config!$C$4=4,Config!$F$35,
            IF(Config!$C$4=5,Config!$G$35,
              IF(Config!$C$4=6,Config!$H$35,Config!$I$35)
            )
          )
        )
      )
    )
  ),
    "⚠ OUT OF RANGE",
    "OK"
  )
)</f>
        <v>⚠ OUT OF RANGE</v>
      </c>
      <c r="S10" s="95" t="str">
        <f>IF(I10="","",
  IF(OR(
    L10 &lt; IF(Config!$C$4=1,Config!$C$36,
      IF(Config!$C$4=2,Config!$D$36,
        IF(Config!$C$4=3,Config!$E$36,
          IF(Config!$C$4=4,Config!$F$36,
            IF(Config!$C$4=5,Config!$G$36,
              IF(Config!$C$4=6,Config!$H$36,Config!$I$36)
            )
          )
        )
      )
    ),
    L10 &gt; IF(Config!$C$4=1,Config!$C$37,
      IF(Config!$C$4=2,Config!$D$37,
        IF(Config!$C$4=3,Config!$E$37,
          IF(Config!$C$4=4,Config!$F$37,
            IF(Config!$C$4=5,Config!$G$37,
              IF(Config!$C$4=6,Config!$H$37,Config!$I$37)
            )
          )
        )
      )
    )
  ),
    "⚠ OUT OF RANGE",
    "OK"
  )
)</f>
        <v>OK</v>
      </c>
      <c r="T10" s="47"/>
      <c r="U10" s="79">
        <f>Config!$C$4</f>
        <v>1</v>
      </c>
      <c r="V10" s="79">
        <f>IF(U10=1, Config!$C$27,
  IF(U10=2, Config!$D$27,
    IF(U10=3, Config!$E$27,
      IF(U10=4, Config!$F$27,
        IF(U10=5, Config!$G$27,
          IF(U10=6, Config!$H$27,
            Config!$I$27
          )
        )
      )
    )
  )
)</f>
        <v>0</v>
      </c>
      <c r="W10" s="79">
        <f>IF(U10=1, Config!$C$28,
  IF(U10=2, Config!$D$28,
    IF(U10=3, Config!$E$28,
      IF(U10=4, Config!$F$28,
        IF(U10=5, Config!$G$28,
          IF(U10=6, Config!$H$28,
            Config!$I$28
          )
        )
      )
    )
  )
)</f>
        <v>0</v>
      </c>
      <c r="X10" s="79">
        <f>IF(U10=1, Config!$C$29,
  IF(U10=2, Config!$D$29,
    IF(U10=3, Config!$E$29,
      IF(U10=4, Config!$F$29,
        IF(U10=5, Config!$G$29,
          IF(U10=6, Config!$H$29,
            Config!$I$29
          )
        )
      )
    )
  )
)</f>
        <v>0</v>
      </c>
      <c r="Y10" s="79">
        <f>IF(U10=1, Config!$C$30,
  IF(U10=2, Config!$D$30,
    IF(U10=3, Config!$E$30,
      IF(U10=4, Config!$F$30,
        IF(U10=5, Config!$G$30,
          IF(U10=6, Config!$H$30,
            Config!$I$30
          )
        )
      )
    )
  )
)</f>
        <v>0</v>
      </c>
      <c r="AA10" s="79">
        <f t="shared" si="0"/>
        <v>-70.797976428758062</v>
      </c>
      <c r="AB10" s="79">
        <f t="shared" si="1"/>
        <v>-105.72871471321709</v>
      </c>
      <c r="AC10" s="72"/>
      <c r="AD10" s="79">
        <f>IF(I10="","",
  IF(Config!$C$51=1, D10,
    IF(U10&lt;=2,
      (D10 - V10)*COS(RADIANS(AB10)) + (E10 - W10)*SIN(RADIANS(AB10)) + V10,
      IF(U10=3,
        ((D10 - V10)*COS(RADIANS(AB10)) + (E10 - W10)*SIN(RADIANS(AB10)))*COS(RADIANS(AA10))
        + (F10 - X10)*SIN(RADIANS(AA10)) + V10,
        IF(U10=4,
          (D10*COS(RADIANS(AB10)) + E10*SIN(RADIANS(AB10)) + V10) + Y10*SIN(RADIANS(AA10)),
          IF(U10=5,
            D10 + Y10*SIN(RADIANS(AA10))*COS(RADIANS(AB10)),
            IF(U10=6,
              (D10*COS(RADIANS(AB10)) + E10*SIN(RADIANS(AB10)) + V10)
              + Y10*SIN(RADIANS(AA10))*SIN(RADIANS(Config!$H$18)),
              COS(RADIANS(AA10)) * (((D10 - V10)*COS(RADIANS(AB10)) + (E10 - W10)*SIN(RADIANS(AB10))))
              + SIN(RADIANS(AA10)) * (
                Config!$C$16*(F10 - X10)
                - Config!$C$17*(-(D10 - V10)*SIN(RADIANS(AB10)) + (E10 - W10)*COS(RADIANS(AB10)))
              )
              + (1 - COS(RADIANS(AA10))) * (
                ((D10 - V10)*COS(RADIANS(AB10)) + (E10 - W10)*SIN(RADIANS(AB10)))*Config!$C$15
                + (-(D10 - V10)*SIN(RADIANS(AB10)) + (E10 - W10)*COS(RADIANS(AB10)))*Config!$C$16
                + (F10 - X10)*Config!$C$17
              ) * Config!$C$15
              + V10
            )
          )
        )
      )
    )
  )
)</f>
        <v>0</v>
      </c>
      <c r="AE10" s="79">
        <f>IF(I10="","",
  IF(Config!$C$51=1, E10,
    IF(U10 &lt;= 2,
      (-(D10 - V10) * SIN(RADIANS(AB10)) + (E10 - W10) * COS(RADIANS(AB10))) * COS(RADIANS(AA10))
      + (F10 - X10) * SIN(RADIANS(AA10))
      + W10,
      IF(U10 = 3,
        (-(D10 - V10) * SIN(RADIANS(AB10)) + (E10 - W10) * COS(RADIANS(AB10)))
        + W10,
        IF(U10 = 4,
          -(D10) * SIN(RADIANS(AB10)) + (E10) * COS(RADIANS(AB10))
          + W10,
          IF(U10 = 5,
            E10 + Y10 * SIN(RADIANS(AA10)) * SIN(RADIANS(AB10)),
            IF(U10 = 6,
              (-(D10) * SIN(RADIANS(AB10)) + (E10) * COS(RADIANS(AB10)) + W10)
              + Y10 * (1 - COS(RADIANS(AA10))) * SIN(RADIANS(Config!$H$18)) * COS(RADIANS(Config!$H$18)),
              COS(RADIANS(AA10)) * (-(D10 - V10) * SIN(RADIANS(AB10)) + (E10 - W10) * COS(RADIANS(AB10)))
              + SIN(RADIANS(AA10)) * (
                Config!$C$17 * ((D10 - V10) * COS(RADIANS(AB10)) + (E10 - W10) * SIN(RADIANS(AB10)))
                - Config!$C$15 * (F10 - X10)
              )
              + (1 - COS(RADIANS(AA10))) * (
                ((D10 - V10) * COS(RADIANS(AB10)) + (E10 - W10) * SIN(RADIANS(AB10))) * Config!$C$15
                + (-(D10 - V10) * SIN(RADIANS(AB10)) + (E10 - W10) * COS(RADIANS(AB10))) * Config!$C$16
                + (F10 - X10) * Config!$C$17
              ) * Config!$C$16
              + W10
            )
          )
        )
      )
    )
  )
)</f>
        <v>0</v>
      </c>
      <c r="AF10" s="79">
        <f>IF(I10="","",
  IF(Config!$C$51=1, F10,
    IF(U10 &lt;= 2,
      -((-(D10 - V10) * SIN(RADIANS(AB10)) + (E10 - W10) * COS(RADIANS(AB10)))) * SIN(RADIANS(AA10))
      + (F10 - X10) * COS(RADIANS(AA10))
      + X10,
      IF(U10 = 3,
        -(((D10 - V10) * COS(RADIANS(AB10)) + (E10 - W10) * SIN(RADIANS(AB10)))) * SIN(RADIANS(AA10))
        + (F10 - X10) * COS(RADIANS(AA10))
        + X10,
        IF(U10 = 4,
          (F10 + X10) - Y10 * (1 - COS(RADIANS(AA10))),
          IF(U10 = 5,
            F10 - Y10 * (1 - COS(RADIANS(AA10))),
            IF(U10 = 6,
              (F10 + X10) - Y10 * SIN(RADIANS(Config!$H$18)) * SIN(RADIANS(Config!$H$18)) * (1 - COS(RADIANS(AA10))),
              COS(RADIANS(AA10)) * (F10 - X10)
              + SIN(RADIANS(AA10)) * (
                Config!$C$15 * (-(D10 - V10) * SIN(RADIANS(AB10)) + (E10 - W10) * COS(RADIANS(AB10)))
                - Config!$C$16 * ((D10 - V10) * COS(RADIANS(AB10)) + (E10 - W10) * SIN(RADIANS(AB10)))
              )
              + (1 - COS(RADIANS(AA10))) * (
                ((D10 - V10) * COS(RADIANS(AB10)) + (E10 - W10) * SIN(RADIANS(AB10))) * Config!$C$15
                + (-(D10 - V10) * SIN(RADIANS(AB10)) + (E10 - W10) * COS(RADIANS(AB10))) * Config!$C$16
                + (F10 - X10) * Config!$C$17
              ) * Config!$C$17
              + X10
            )
          )
        )
      )
    )
  )
)</f>
        <v>0</v>
      </c>
      <c r="AG10" s="72"/>
      <c r="AH10" s="96" t="str">
        <f>IF(I10="","",
  IF(OR(AA10="N/A", AA10=""),
    "N/A",
    IF(OR(
      AA10 &lt; IF(Config!$C$4=1,Config!$C$34,
        IF(Config!$C$4=2,Config!$D$34,
          IF(Config!$C$4=3,Config!$E$34,
            IF(Config!$C$4=4,Config!$F$34,
              IF(Config!$C$4=5,Config!$G$34,
                IF(Config!$C$4=6,Config!$H$34,Config!$I$34)
              )
            )
          )
        )
      ),
      AA10 &gt; IF(Config!$C$4=1,Config!$C$35,
        IF(Config!$C$4=2,Config!$D$35,
          IF(Config!$C$4=3,Config!$E$35,
            IF(Config!$C$4=4,Config!$F$35,
              IF(Config!$C$4=5,Config!$G$35,
                IF(Config!$C$4=6,Config!$H$35,Config!$I$35)
              )
            )
          )
        )
      )
    ),
    "⚠ OUT OF RANGE",
    "OK"
    )
  )
)</f>
        <v>OK</v>
      </c>
      <c r="AI10" s="96" t="str">
        <f>IF(I10="","",
  IF(OR(AB10="N/A", AB10=""),
    "N/A",
    IF(OR(
      AB10 &lt; IF(Config!$C$4=1,Config!$C$36,
        IF(Config!$C$4=2,Config!$D$36,
          IF(Config!$C$4=3,Config!$E$36,
            IF(Config!$C$4=4,Config!$F$36,
              IF(Config!$C$4=5,Config!$G$36,
                IF(Config!$C$4=6,Config!$H$36,Config!$I$36)
              )
            )
          )
        )
      ),
      AB10 &gt; IF(Config!$C$4=1,Config!$C$37,
        IF(Config!$C$4=2,Config!$D$37,
          IF(Config!$C$4=3,Config!$E$37,
            IF(Config!$C$4=4,Config!$F$37,
              IF(Config!$C$4=5,Config!$G$37,
                IF(Config!$C$4=6,Config!$H$37,Config!$I$37)
              )
            )
          )
        )
      )
    ),
    "⚠ OUT OF RANGE",
    "OK"
    )
  )
)</f>
        <v>OK</v>
      </c>
    </row>
    <row r="11" spans="1:35" ht="18" customHeight="1" x14ac:dyDescent="0.25">
      <c r="A11" s="43"/>
      <c r="B11" s="47">
        <v>7</v>
      </c>
      <c r="C11" s="71"/>
      <c r="D11" s="64">
        <v>0</v>
      </c>
      <c r="E11" s="64">
        <v>0</v>
      </c>
      <c r="F11" s="64">
        <v>0</v>
      </c>
      <c r="G11" s="64">
        <v>0.98909999999999998</v>
      </c>
      <c r="H11" s="64">
        <v>0.1082</v>
      </c>
      <c r="I11" s="64">
        <v>9.9400000000000002E-2</v>
      </c>
      <c r="J11" s="47"/>
      <c r="K11" s="79">
        <f>IF(
    I11="",
    "",
    IF(
        Config!$C$4&lt;=2,
        IF(
            AND(G11=0,H11=0),
            0,
            IF(
                H11&gt;=0,
                DEGREES(ACOS(I11)),
                -DEGREES(ACOS(I11))
            )
        ),
        IF(
            Config!$C$4=3,
            IF(
                AND(G11=0,H11=0),
                0,
                IF(
                    G11&gt;=0,
                    DEGREES(ACOS(I11)),
                    -DEGREES(ACOS(I11))
                )
            ),
            IF(
                Config!$C$4=4,
                IF(
                    AND(G11=0,H11=0),
                    0,
                    DEGREES(ATAN2(I11,G11))
                ),
                IF(
                    Config!$C$4=5,
                    IF(
                        AND(G11=0,H11=0),
                        0,
                        DEGREES(ACOS(I11))
                    ),
                    IF(
                        Config!$C$4=6,
                        IF(
                            AND(G11=0,H11=0),
                            0,
                            IF(
                                G11&gt;=0,
                                DEGREES(ACOS(2*I11-1)),
                                -DEGREES(ACOS(2*I11-1))
                            )
                        ),
                        IF(
                            AND(G11=0,H11=0),
                            0,
                            IF(
                                ((G11*Config!$C$16-H11*Config!$C$15))&lt;=0,
                                DEGREES(
                                    ACOS(
                                        MAX(
                                            -1,
                                            MIN(
                                                1,
                                                (I11-Config!$C$20)/Config!$C$21
                                            )
                                        )
                                    )
                                ),
                                -DEGREES(
                                    ACOS(
                                        MAX(
                                            -1,
                                            MIN(
                                                1,
                                                (I11-Config!$C$20)/Config!$C$21
                                            )
                                        )
                                    )
                                )
                            )
                        )
                    )
                )
            )
        )
    )
)</f>
        <v>84.295379132940056</v>
      </c>
      <c r="L11" s="79">
        <f>IF(
    I11="",
    "",
    IF(
        Config!$C$4&lt;=2,
        IF(
            AND(G11=0,H11=0),
            0,
            DEGREES(ATAN2(H11,G11))
        ),
        IF(
            Config!$C$4=3,
            IF(
                AND(G11=0,H11=0),
                0,
                DEGREES(ATAN2(G11,-H11))
            ),
            IF(
                Config!$C$4=4,
                0,
                IF(
                    Config!$C$4=5,
                    IF(
                        AND(G11=0,H11=0),
                        0,
                        DEGREES(ATAN2(H11,G11))
                    ),
                    IF(
                        Config!$C$4=6,
                        IF(
                            AND(G11=0,H11=0),
                            0,
                            DEGREES(ATAN2(H11,G11))
                        ),
                        0
                    )
                )
            )
        )
    )
)</f>
        <v>83.757101800661317</v>
      </c>
      <c r="M11" s="47"/>
      <c r="N11" s="79">
        <f>IF(I11="","",
  IF(Config!$C$51=1, D11,
    IF(U11&lt;=2,
      (D11 - V11)*COS(RADIANS(L11)) + (E11 - W11)*SIN(RADIANS(L11)) + V11,
      IF(U11=3,
        ((D11 - V11)*COS(RADIANS(L11)) + (E11 - W11)*SIN(RADIANS(L11)))*COS(RADIANS(K11))
        + (F11 - X11)*SIN(RADIANS(K11)) + V11,
        IF(U11=4,
          (D11*COS(RADIANS(L11)) + E11*SIN(RADIANS(L11)) + V11) + Y11*SIN(RADIANS(K11)),
          IF(U11=5,
            D11 + Y11*SIN(RADIANS(K11))*COS(RADIANS(L11)),
            IF(U11=6,
              (D11*COS(RADIANS(L11)) + E11*SIN(RADIANS(L11)) + V11)
              + Y11*SIN(RADIANS(K11))*SIN(RADIANS(Config!$H$18)),
              COS(RADIANS(K11)) * (((D11 - V11)*COS(RADIANS(L11)) + (E11 - W11)*SIN(RADIANS(L11))))
              + SIN(RADIANS(K11)) * (
                Config!$C$16*(F11 - X11)
                - Config!$C$17*(-(D11 - V11)*SIN(RADIANS(L11)) + (E11 - W11)*COS(RADIANS(L11)))
              )
              + (1 - COS(RADIANS(K11))) * (
                ((D11 - V11)*COS(RADIANS(L11)) + (E11 - W11)*SIN(RADIANS(L11)))*Config!$C$15
                + (-(D11 - V11)*SIN(RADIANS(L11)) + (E11 - W11)*COS(RADIANS(L11)))*Config!$C$16
                + (F11 - X11)*Config!$C$17
              ) * Config!$C$15
              + V11
            )
          )
        )
      )
    )
  )
)</f>
        <v>0</v>
      </c>
      <c r="O11" s="79">
        <f>IF(I11="","",
  IF(Config!$C$51=1, E11,
    IF(U11 &lt;= 2,
      (-(D11 - V11) * SIN(RADIANS(L11)) + (E11 - W11) * COS(RADIANS(L11))) * COS(RADIANS(K11))
      + (F11 - X11) * SIN(RADIANS(K11))
      + W11,
      IF(U11 = 3,
        (-(D11 - V11) * SIN(RADIANS(L11)) + (E11 - W11) * COS(RADIANS(L11)))
        + W11,
        IF(U11 = 4,
          -(D11) * SIN(RADIANS(L11)) + (E11) * COS(RADIANS(L11))
          + W11,
          IF(U11 = 5,
            E11 + Y11 * SIN(RADIANS(K11)) * SIN(RADIANS(L11)),
            IF(U11 = 6,
              (-(D11) * SIN(RADIANS(L11)) + (E11) * COS(RADIANS(L11)) + W11)
              + Y11 * (1 - COS(RADIANS(K11))) * SIN(RADIANS(Config!$H$18)) * COS(RADIANS(Config!$H$18)),
              COS(RADIANS(K11)) * (-(D11 - V11) * SIN(RADIANS(L11)) + (E11 - W11) * COS(RADIANS(L11)))
              + SIN(RADIANS(K11)) * (
                Config!$C$17 * ((D11 - V11) * COS(RADIANS(L11)) + (E11 - W11) * SIN(RADIANS(L11)))
                - Config!$C$15 * (F11 - X11)
              )
              + (1 - COS(RADIANS(K11))) * (
                ((D11 - V11) * COS(RADIANS(L11)) + (E11 - W11) * SIN(RADIANS(L11))) * Config!$C$15
                + (-(D11 - V11) * SIN(RADIANS(L11)) + (E11 - W11) * COS(RADIANS(L11))) * Config!$C$16
                + (F11 - X11) * Config!$C$17
              ) * Config!$C$16
              + W11
            )
          )
        )
      )
    )
  )
)</f>
        <v>0</v>
      </c>
      <c r="P11" s="79">
        <f>IF(I11="","",
  IF(Config!$C$51=1, F11,
    IF(U11 &lt;= 2,
      -((-(D11 - V11) * SIN(RADIANS(L11)) + (E11 - W11) * COS(RADIANS(L11)))) * SIN(RADIANS(K11))
      + (F11 - X11) * COS(RADIANS(K11))
      + X11,
      IF(U11 = 3,
        -(((D11 - V11) * COS(RADIANS(L11)) + (E11 - W11) * SIN(RADIANS(L11)))) * SIN(RADIANS(K11))
        + (F11 - X11) * COS(RADIANS(K11))
        + X11,
        IF(U11 = 4,
          (F11 + X11) - Y11 * (1 - COS(RADIANS(K11))),
          IF(U11 = 5,
            F11 - Y11 * (1 - COS(RADIANS(K11))),
            IF(U11 = 6,
              (F11 + X11) - Y11 * SIN(RADIANS(Config!$H$18)) * SIN(RADIANS(Config!$H$18)) * (1 - COS(RADIANS(K11))),
              COS(RADIANS(K11)) * (F11 - X11)
              + SIN(RADIANS(K11)) * (
                Config!$C$15 * (-(D11 - V11) * SIN(RADIANS(L11)) + (E11 - W11) * COS(RADIANS(L11)))
                - Config!$C$16 * ((D11 - V11) * COS(RADIANS(L11)) + (E11 - W11) * SIN(RADIANS(L11)))
              )
              + (1 - COS(RADIANS(K11))) * (
                ((D11 - V11) * COS(RADIANS(L11)) + (E11 - W11) * SIN(RADIANS(L11))) * Config!$C$15
                + (-(D11 - V11) * SIN(RADIANS(L11)) + (E11 - W11) * COS(RADIANS(L11))) * Config!$C$16
                + (F11 - X11) * Config!$C$17
              ) * Config!$C$17
              + X11
            )
          )
        )
      )
    )
  )
)</f>
        <v>0</v>
      </c>
      <c r="Q11" s="47"/>
      <c r="R11" s="95" t="str">
        <f>IF(I11="","",
  IF(OR(
    K11 &lt; IF(Config!$C$4=1,Config!$C$34,
      IF(Config!$C$4=2,Config!$D$34,
        IF(Config!$C$4=3,Config!$E$34,
          IF(Config!$C$4=4,Config!$F$34,
            IF(Config!$C$4=5,Config!$G$34,
              IF(Config!$C$4=6,Config!$H$34,Config!$I$34)
            )
          )
        )
      )
    ),
    K11 &gt; IF(Config!$C$4=1,Config!$C$35,
      IF(Config!$C$4=2,Config!$D$35,
        IF(Config!$C$4=3,Config!$E$35,
          IF(Config!$C$4=4,Config!$F$35,
            IF(Config!$C$4=5,Config!$G$35,
              IF(Config!$C$4=6,Config!$H$35,Config!$I$35)
            )
          )
        )
      )
    )
  ),
    "⚠ OUT OF RANGE",
    "OK"
  )
)</f>
        <v>⚠ OUT OF RANGE</v>
      </c>
      <c r="S11" s="95" t="str">
        <f>IF(I11="","",
  IF(OR(
    L11 &lt; IF(Config!$C$4=1,Config!$C$36,
      IF(Config!$C$4=2,Config!$D$36,
        IF(Config!$C$4=3,Config!$E$36,
          IF(Config!$C$4=4,Config!$F$36,
            IF(Config!$C$4=5,Config!$G$36,
              IF(Config!$C$4=6,Config!$H$36,Config!$I$36)
            )
          )
        )
      )
    ),
    L11 &gt; IF(Config!$C$4=1,Config!$C$37,
      IF(Config!$C$4=2,Config!$D$37,
        IF(Config!$C$4=3,Config!$E$37,
          IF(Config!$C$4=4,Config!$F$37,
            IF(Config!$C$4=5,Config!$G$37,
              IF(Config!$C$4=6,Config!$H$37,Config!$I$37)
            )
          )
        )
      )
    )
  ),
    "⚠ OUT OF RANGE",
    "OK"
  )
)</f>
        <v>OK</v>
      </c>
      <c r="T11" s="47"/>
      <c r="U11" s="79">
        <f>Config!$C$4</f>
        <v>1</v>
      </c>
      <c r="V11" s="79">
        <f>IF(U11=1, Config!$C$27,
  IF(U11=2, Config!$D$27,
    IF(U11=3, Config!$E$27,
      IF(U11=4, Config!$F$27,
        IF(U11=5, Config!$G$27,
          IF(U11=6, Config!$H$27,
            Config!$I$27
          )
        )
      )
    )
  )
)</f>
        <v>0</v>
      </c>
      <c r="W11" s="79">
        <f>IF(U11=1, Config!$C$28,
  IF(U11=2, Config!$D$28,
    IF(U11=3, Config!$E$28,
      IF(U11=4, Config!$F$28,
        IF(U11=5, Config!$G$28,
          IF(U11=6, Config!$H$28,
            Config!$I$28
          )
        )
      )
    )
  )
)</f>
        <v>0</v>
      </c>
      <c r="X11" s="79">
        <f>IF(U11=1, Config!$C$29,
  IF(U11=2, Config!$D$29,
    IF(U11=3, Config!$E$29,
      IF(U11=4, Config!$F$29,
        IF(U11=5, Config!$G$29,
          IF(U11=6, Config!$H$29,
            Config!$I$29
          )
        )
      )
    )
  )
)</f>
        <v>0</v>
      </c>
      <c r="Y11" s="79">
        <f>IF(U11=1, Config!$C$30,
  IF(U11=2, Config!$D$30,
    IF(U11=3, Config!$E$30,
      IF(U11=4, Config!$F$30,
        IF(U11=5, Config!$G$30,
          IF(U11=6, Config!$H$30,
            Config!$I$30
          )
        )
      )
    )
  )
)</f>
        <v>0</v>
      </c>
      <c r="AA11" s="79">
        <f t="shared" si="0"/>
        <v>-84.295379132940056</v>
      </c>
      <c r="AB11" s="79">
        <f t="shared" si="1"/>
        <v>-96.242898199338683</v>
      </c>
      <c r="AC11" s="72"/>
      <c r="AD11" s="79">
        <f>IF(I11="","",
  IF(Config!$C$51=1, D11,
    IF(U11&lt;=2,
      (D11 - V11)*COS(RADIANS(AB11)) + (E11 - W11)*SIN(RADIANS(AB11)) + V11,
      IF(U11=3,
        ((D11 - V11)*COS(RADIANS(AB11)) + (E11 - W11)*SIN(RADIANS(AB11)))*COS(RADIANS(AA11))
        + (F11 - X11)*SIN(RADIANS(AA11)) + V11,
        IF(U11=4,
          (D11*COS(RADIANS(AB11)) + E11*SIN(RADIANS(AB11)) + V11) + Y11*SIN(RADIANS(AA11)),
          IF(U11=5,
            D11 + Y11*SIN(RADIANS(AA11))*COS(RADIANS(AB11)),
            IF(U11=6,
              (D11*COS(RADIANS(AB11)) + E11*SIN(RADIANS(AB11)) + V11)
              + Y11*SIN(RADIANS(AA11))*SIN(RADIANS(Config!$H$18)),
              COS(RADIANS(AA11)) * (((D11 - V11)*COS(RADIANS(AB11)) + (E11 - W11)*SIN(RADIANS(AB11))))
              + SIN(RADIANS(AA11)) * (
                Config!$C$16*(F11 - X11)
                - Config!$C$17*(-(D11 - V11)*SIN(RADIANS(AB11)) + (E11 - W11)*COS(RADIANS(AB11)))
              )
              + (1 - COS(RADIANS(AA11))) * (
                ((D11 - V11)*COS(RADIANS(AB11)) + (E11 - W11)*SIN(RADIANS(AB11)))*Config!$C$15
                + (-(D11 - V11)*SIN(RADIANS(AB11)) + (E11 - W11)*COS(RADIANS(AB11)))*Config!$C$16
                + (F11 - X11)*Config!$C$17
              ) * Config!$C$15
              + V11
            )
          )
        )
      )
    )
  )
)</f>
        <v>0</v>
      </c>
      <c r="AE11" s="79">
        <f>IF(I11="","",
  IF(Config!$C$51=1, E11,
    IF(U11 &lt;= 2,
      (-(D11 - V11) * SIN(RADIANS(AB11)) + (E11 - W11) * COS(RADIANS(AB11))) * COS(RADIANS(AA11))
      + (F11 - X11) * SIN(RADIANS(AA11))
      + W11,
      IF(U11 = 3,
        (-(D11 - V11) * SIN(RADIANS(AB11)) + (E11 - W11) * COS(RADIANS(AB11)))
        + W11,
        IF(U11 = 4,
          -(D11) * SIN(RADIANS(AB11)) + (E11) * COS(RADIANS(AB11))
          + W11,
          IF(U11 = 5,
            E11 + Y11 * SIN(RADIANS(AA11)) * SIN(RADIANS(AB11)),
            IF(U11 = 6,
              (-(D11) * SIN(RADIANS(AB11)) + (E11) * COS(RADIANS(AB11)) + W11)
              + Y11 * (1 - COS(RADIANS(AA11))) * SIN(RADIANS(Config!$H$18)) * COS(RADIANS(Config!$H$18)),
              COS(RADIANS(AA11)) * (-(D11 - V11) * SIN(RADIANS(AB11)) + (E11 - W11) * COS(RADIANS(AB11)))
              + SIN(RADIANS(AA11)) * (
                Config!$C$17 * ((D11 - V11) * COS(RADIANS(AB11)) + (E11 - W11) * SIN(RADIANS(AB11)))
                - Config!$C$15 * (F11 - X11)
              )
              + (1 - COS(RADIANS(AA11))) * (
                ((D11 - V11) * COS(RADIANS(AB11)) + (E11 - W11) * SIN(RADIANS(AB11))) * Config!$C$15
                + (-(D11 - V11) * SIN(RADIANS(AB11)) + (E11 - W11) * COS(RADIANS(AB11))) * Config!$C$16
                + (F11 - X11) * Config!$C$17
              ) * Config!$C$16
              + W11
            )
          )
        )
      )
    )
  )
)</f>
        <v>0</v>
      </c>
      <c r="AF11" s="79">
        <f>IF(I11="","",
  IF(Config!$C$51=1, F11,
    IF(U11 &lt;= 2,
      -((-(D11 - V11) * SIN(RADIANS(AB11)) + (E11 - W11) * COS(RADIANS(AB11)))) * SIN(RADIANS(AA11))
      + (F11 - X11) * COS(RADIANS(AA11))
      + X11,
      IF(U11 = 3,
        -(((D11 - V11) * COS(RADIANS(AB11)) + (E11 - W11) * SIN(RADIANS(AB11)))) * SIN(RADIANS(AA11))
        + (F11 - X11) * COS(RADIANS(AA11))
        + X11,
        IF(U11 = 4,
          (F11 + X11) - Y11 * (1 - COS(RADIANS(AA11))),
          IF(U11 = 5,
            F11 - Y11 * (1 - COS(RADIANS(AA11))),
            IF(U11 = 6,
              (F11 + X11) - Y11 * SIN(RADIANS(Config!$H$18)) * SIN(RADIANS(Config!$H$18)) * (1 - COS(RADIANS(AA11))),
              COS(RADIANS(AA11)) * (F11 - X11)
              + SIN(RADIANS(AA11)) * (
                Config!$C$15 * (-(D11 - V11) * SIN(RADIANS(AB11)) + (E11 - W11) * COS(RADIANS(AB11)))
                - Config!$C$16 * ((D11 - V11) * COS(RADIANS(AB11)) + (E11 - W11) * SIN(RADIANS(AB11)))
              )
              + (1 - COS(RADIANS(AA11))) * (
                ((D11 - V11) * COS(RADIANS(AB11)) + (E11 - W11) * SIN(RADIANS(AB11))) * Config!$C$15
                + (-(D11 - V11) * SIN(RADIANS(AB11)) + (E11 - W11) * COS(RADIANS(AB11))) * Config!$C$16
                + (F11 - X11) * Config!$C$17
              ) * Config!$C$17
              + X11
            )
          )
        )
      )
    )
  )
)</f>
        <v>0</v>
      </c>
      <c r="AG11" s="72"/>
      <c r="AH11" s="96" t="str">
        <f>IF(I11="","",
  IF(OR(AA11="N/A", AA11=""),
    "N/A",
    IF(OR(
      AA11 &lt; IF(Config!$C$4=1,Config!$C$34,
        IF(Config!$C$4=2,Config!$D$34,
          IF(Config!$C$4=3,Config!$E$34,
            IF(Config!$C$4=4,Config!$F$34,
              IF(Config!$C$4=5,Config!$G$34,
                IF(Config!$C$4=6,Config!$H$34,Config!$I$34)
              )
            )
          )
        )
      ),
      AA11 &gt; IF(Config!$C$4=1,Config!$C$35,
        IF(Config!$C$4=2,Config!$D$35,
          IF(Config!$C$4=3,Config!$E$35,
            IF(Config!$C$4=4,Config!$F$35,
              IF(Config!$C$4=5,Config!$G$35,
                IF(Config!$C$4=6,Config!$H$35,Config!$I$35)
              )
            )
          )
        )
      )
    ),
    "⚠ OUT OF RANGE",
    "OK"
    )
  )
)</f>
        <v>OK</v>
      </c>
      <c r="AI11" s="96" t="str">
        <f>IF(I11="","",
  IF(OR(AB11="N/A", AB11=""),
    "N/A",
    IF(OR(
      AB11 &lt; IF(Config!$C$4=1,Config!$C$36,
        IF(Config!$C$4=2,Config!$D$36,
          IF(Config!$C$4=3,Config!$E$36,
            IF(Config!$C$4=4,Config!$F$36,
              IF(Config!$C$4=5,Config!$G$36,
                IF(Config!$C$4=6,Config!$H$36,Config!$I$36)
              )
            )
          )
        )
      ),
      AB11 &gt; IF(Config!$C$4=1,Config!$C$37,
        IF(Config!$C$4=2,Config!$D$37,
          IF(Config!$C$4=3,Config!$E$37,
            IF(Config!$C$4=4,Config!$F$37,
              IF(Config!$C$4=5,Config!$G$37,
                IF(Config!$C$4=6,Config!$H$37,Config!$I$37)
              )
            )
          )
        )
      )
    ),
    "⚠ OUT OF RANGE",
    "OK"
    )
  )
)</f>
        <v>OK</v>
      </c>
    </row>
    <row r="12" spans="1:35" ht="18" customHeight="1" x14ac:dyDescent="0.25">
      <c r="A12" s="43"/>
      <c r="B12" s="47">
        <v>8</v>
      </c>
      <c r="C12" s="71"/>
      <c r="D12" s="64">
        <v>0</v>
      </c>
      <c r="E12" s="64">
        <v>0</v>
      </c>
      <c r="F12" s="64">
        <v>0</v>
      </c>
      <c r="G12" s="64">
        <v>0</v>
      </c>
      <c r="H12" s="64">
        <v>0.5</v>
      </c>
      <c r="I12" s="64">
        <v>0.86599999999999999</v>
      </c>
      <c r="J12" s="47"/>
      <c r="K12" s="79">
        <f>IF(
    I12="",
    "",
    IF(
        Config!$C$4&lt;=2,
        IF(
            AND(G12=0,H12=0),
            0,
            IF(
                H12&gt;=0,
                DEGREES(ACOS(I12)),
                -DEGREES(ACOS(I12))
            )
        ),
        IF(
            Config!$C$4=3,
            IF(
                AND(G12=0,H12=0),
                0,
                IF(
                    G12&gt;=0,
                    DEGREES(ACOS(I12)),
                    -DEGREES(ACOS(I12))
                )
            ),
            IF(
                Config!$C$4=4,
                IF(
                    AND(G12=0,H12=0),
                    0,
                    DEGREES(ATAN2(I12,G12))
                ),
                IF(
                    Config!$C$4=5,
                    IF(
                        AND(G12=0,H12=0),
                        0,
                        DEGREES(ACOS(I12))
                    ),
                    IF(
                        Config!$C$4=6,
                        IF(
                            AND(G12=0,H12=0),
                            0,
                            IF(
                                G12&gt;=0,
                                DEGREES(ACOS(2*I12-1)),
                                -DEGREES(ACOS(2*I12-1))
                            )
                        ),
                        IF(
                            AND(G12=0,H12=0),
                            0,
                            IF(
                                ((G12*Config!$C$16-H12*Config!$C$15))&lt;=0,
                                DEGREES(
                                    ACOS(
                                        MAX(
                                            -1,
                                            MIN(
                                                1,
                                                (I12-Config!$C$20)/Config!$C$21
                                            )
                                        )
                                    )
                                ),
                                -DEGREES(
                                    ACOS(
                                        MAX(
                                            -1,
                                            MIN(
                                                1,
                                                (I12-Config!$C$20)/Config!$C$21
                                            )
                                        )
                                    )
                                )
                            )
                        )
                    )
                )
            )
        )
    )
)</f>
        <v>30.002910931188026</v>
      </c>
      <c r="L12" s="79">
        <f>IF(
    I12="",
    "",
    IF(
        Config!$C$4&lt;=2,
        IF(
            AND(G12=0,H12=0),
            0,
            DEGREES(ATAN2(H12,G12))
        ),
        IF(
            Config!$C$4=3,
            IF(
                AND(G12=0,H12=0),
                0,
                DEGREES(ATAN2(G12,-H12))
            ),
            IF(
                Config!$C$4=4,
                0,
                IF(
                    Config!$C$4=5,
                    IF(
                        AND(G12=0,H12=0),
                        0,
                        DEGREES(ATAN2(H12,G12))
                    ),
                    IF(
                        Config!$C$4=6,
                        IF(
                            AND(G12=0,H12=0),
                            0,
                            DEGREES(ATAN2(H12,G12))
                        ),
                        0
                    )
                )
            )
        )
    )
)</f>
        <v>0</v>
      </c>
      <c r="M12" s="47"/>
      <c r="N12" s="79">
        <f>IF(I12="","",
  IF(Config!$C$51=1, D12,
    IF(U12&lt;=2,
      (D12 - V12)*COS(RADIANS(L12)) + (E12 - W12)*SIN(RADIANS(L12)) + V12,
      IF(U12=3,
        ((D12 - V12)*COS(RADIANS(L12)) + (E12 - W12)*SIN(RADIANS(L12)))*COS(RADIANS(K12))
        + (F12 - X12)*SIN(RADIANS(K12)) + V12,
        IF(U12=4,
          (D12*COS(RADIANS(L12)) + E12*SIN(RADIANS(L12)) + V12) + Y12*SIN(RADIANS(K12)),
          IF(U12=5,
            D12 + Y12*SIN(RADIANS(K12))*COS(RADIANS(L12)),
            IF(U12=6,
              (D12*COS(RADIANS(L12)) + E12*SIN(RADIANS(L12)) + V12)
              + Y12*SIN(RADIANS(K12))*SIN(RADIANS(Config!$H$18)),
              COS(RADIANS(K12)) * (((D12 - V12)*COS(RADIANS(L12)) + (E12 - W12)*SIN(RADIANS(L12))))
              + SIN(RADIANS(K12)) * (
                Config!$C$16*(F12 - X12)
                - Config!$C$17*(-(D12 - V12)*SIN(RADIANS(L12)) + (E12 - W12)*COS(RADIANS(L12)))
              )
              + (1 - COS(RADIANS(K12))) * (
                ((D12 - V12)*COS(RADIANS(L12)) + (E12 - W12)*SIN(RADIANS(L12)))*Config!$C$15
                + (-(D12 - V12)*SIN(RADIANS(L12)) + (E12 - W12)*COS(RADIANS(L12)))*Config!$C$16
                + (F12 - X12)*Config!$C$17
              ) * Config!$C$15
              + V12
            )
          )
        )
      )
    )
  )
)</f>
        <v>0</v>
      </c>
      <c r="O12" s="79">
        <f>IF(I12="","",
  IF(Config!$C$51=1, E12,
    IF(U12 &lt;= 2,
      (-(D12 - V12) * SIN(RADIANS(L12)) + (E12 - W12) * COS(RADIANS(L12))) * COS(RADIANS(K12))
      + (F12 - X12) * SIN(RADIANS(K12))
      + W12,
      IF(U12 = 3,
        (-(D12 - V12) * SIN(RADIANS(L12)) + (E12 - W12) * COS(RADIANS(L12)))
        + W12,
        IF(U12 = 4,
          -(D12) * SIN(RADIANS(L12)) + (E12) * COS(RADIANS(L12))
          + W12,
          IF(U12 = 5,
            E12 + Y12 * SIN(RADIANS(K12)) * SIN(RADIANS(L12)),
            IF(U12 = 6,
              (-(D12) * SIN(RADIANS(L12)) + (E12) * COS(RADIANS(L12)) + W12)
              + Y12 * (1 - COS(RADIANS(K12))) * SIN(RADIANS(Config!$H$18)) * COS(RADIANS(Config!$H$18)),
              COS(RADIANS(K12)) * (-(D12 - V12) * SIN(RADIANS(L12)) + (E12 - W12) * COS(RADIANS(L12)))
              + SIN(RADIANS(K12)) * (
                Config!$C$17 * ((D12 - V12) * COS(RADIANS(L12)) + (E12 - W12) * SIN(RADIANS(L12)))
                - Config!$C$15 * (F12 - X12)
              )
              + (1 - COS(RADIANS(K12))) * (
                ((D12 - V12) * COS(RADIANS(L12)) + (E12 - W12) * SIN(RADIANS(L12))) * Config!$C$15
                + (-(D12 - V12) * SIN(RADIANS(L12)) + (E12 - W12) * COS(RADIANS(L12))) * Config!$C$16
                + (F12 - X12) * Config!$C$17
              ) * Config!$C$16
              + W12
            )
          )
        )
      )
    )
  )
)</f>
        <v>0</v>
      </c>
      <c r="P12" s="79">
        <f>IF(I12="","",
  IF(Config!$C$51=1, F12,
    IF(U12 &lt;= 2,
      -((-(D12 - V12) * SIN(RADIANS(L12)) + (E12 - W12) * COS(RADIANS(L12)))) * SIN(RADIANS(K12))
      + (F12 - X12) * COS(RADIANS(K12))
      + X12,
      IF(U12 = 3,
        -(((D12 - V12) * COS(RADIANS(L12)) + (E12 - W12) * SIN(RADIANS(L12)))) * SIN(RADIANS(K12))
        + (F12 - X12) * COS(RADIANS(K12))
        + X12,
        IF(U12 = 4,
          (F12 + X12) - Y12 * (1 - COS(RADIANS(K12))),
          IF(U12 = 5,
            F12 - Y12 * (1 - COS(RADIANS(K12))),
            IF(U12 = 6,
              (F12 + X12) - Y12 * SIN(RADIANS(Config!$H$18)) * SIN(RADIANS(Config!$H$18)) * (1 - COS(RADIANS(K12))),
              COS(RADIANS(K12)) * (F12 - X12)
              + SIN(RADIANS(K12)) * (
                Config!$C$15 * (-(D12 - V12) * SIN(RADIANS(L12)) + (E12 - W12) * COS(RADIANS(L12)))
                - Config!$C$16 * ((D12 - V12) * COS(RADIANS(L12)) + (E12 - W12) * SIN(RADIANS(L12)))
              )
              + (1 - COS(RADIANS(K12))) * (
                ((D12 - V12) * COS(RADIANS(L12)) + (E12 - W12) * SIN(RADIANS(L12))) * Config!$C$15
                + (-(D12 - V12) * SIN(RADIANS(L12)) + (E12 - W12) * COS(RADIANS(L12))) * Config!$C$16
                + (F12 - X12) * Config!$C$17
              ) * Config!$C$17
              + X12
            )
          )
        )
      )
    )
  )
)</f>
        <v>0</v>
      </c>
      <c r="Q12" s="47"/>
      <c r="R12" s="95" t="str">
        <f>IF(I12="","",
  IF(OR(
    K12 &lt; IF(Config!$C$4=1,Config!$C$34,
      IF(Config!$C$4=2,Config!$D$34,
        IF(Config!$C$4=3,Config!$E$34,
          IF(Config!$C$4=4,Config!$F$34,
            IF(Config!$C$4=5,Config!$G$34,
              IF(Config!$C$4=6,Config!$H$34,Config!$I$34)
            )
          )
        )
      )
    ),
    K12 &gt; IF(Config!$C$4=1,Config!$C$35,
      IF(Config!$C$4=2,Config!$D$35,
        IF(Config!$C$4=3,Config!$E$35,
          IF(Config!$C$4=4,Config!$F$35,
            IF(Config!$C$4=5,Config!$G$35,
              IF(Config!$C$4=6,Config!$H$35,Config!$I$35)
            )
          )
        )
      )
    )
  ),
    "⚠ OUT OF RANGE",
    "OK"
  )
)</f>
        <v>⚠ OUT OF RANGE</v>
      </c>
      <c r="S12" s="95" t="str">
        <f>IF(I12="","",
  IF(OR(
    L12 &lt; IF(Config!$C$4=1,Config!$C$36,
      IF(Config!$C$4=2,Config!$D$36,
        IF(Config!$C$4=3,Config!$E$36,
          IF(Config!$C$4=4,Config!$F$36,
            IF(Config!$C$4=5,Config!$G$36,
              IF(Config!$C$4=6,Config!$H$36,Config!$I$36)
            )
          )
        )
      )
    ),
    L12 &gt; IF(Config!$C$4=1,Config!$C$37,
      IF(Config!$C$4=2,Config!$D$37,
        IF(Config!$C$4=3,Config!$E$37,
          IF(Config!$C$4=4,Config!$F$37,
            IF(Config!$C$4=5,Config!$G$37,
              IF(Config!$C$4=6,Config!$H$37,Config!$I$37)
            )
          )
        )
      )
    )
  ),
    "⚠ OUT OF RANGE",
    "OK"
  )
)</f>
        <v>OK</v>
      </c>
      <c r="T12" s="47"/>
      <c r="U12" s="79">
        <f>Config!$C$4</f>
        <v>1</v>
      </c>
      <c r="V12" s="79">
        <f>IF(U12=1, Config!$C$27,
  IF(U12=2, Config!$D$27,
    IF(U12=3, Config!$E$27,
      IF(U12=4, Config!$F$27,
        IF(U12=5, Config!$G$27,
          IF(U12=6, Config!$H$27,
            Config!$I$27
          )
        )
      )
    )
  )
)</f>
        <v>0</v>
      </c>
      <c r="W12" s="79">
        <f>IF(U12=1, Config!$C$28,
  IF(U12=2, Config!$D$28,
    IF(U12=3, Config!$E$28,
      IF(U12=4, Config!$F$28,
        IF(U12=5, Config!$G$28,
          IF(U12=6, Config!$H$28,
            Config!$I$28
          )
        )
      )
    )
  )
)</f>
        <v>0</v>
      </c>
      <c r="X12" s="79">
        <f>IF(U12=1, Config!$C$29,
  IF(U12=2, Config!$D$29,
    IF(U12=3, Config!$E$29,
      IF(U12=4, Config!$F$29,
        IF(U12=5, Config!$G$29,
          IF(U12=6, Config!$H$29,
            Config!$I$29
          )
        )
      )
    )
  )
)</f>
        <v>0</v>
      </c>
      <c r="Y12" s="79">
        <f>IF(U12=1, Config!$C$30,
  IF(U12=2, Config!$D$30,
    IF(U12=3, Config!$E$30,
      IF(U12=4, Config!$F$30,
        IF(U12=5, Config!$G$30,
          IF(U12=6, Config!$H$30,
            Config!$I$30
          )
        )
      )
    )
  )
)</f>
        <v>0</v>
      </c>
      <c r="AA12" s="79">
        <f t="shared" si="0"/>
        <v>-30.002910931188026</v>
      </c>
      <c r="AB12" s="79">
        <f t="shared" si="1"/>
        <v>180</v>
      </c>
      <c r="AC12" s="72"/>
      <c r="AD12" s="79">
        <f>IF(I12="","",
  IF(Config!$C$51=1, D12,
    IF(U12&lt;=2,
      (D12 - V12)*COS(RADIANS(AB12)) + (E12 - W12)*SIN(RADIANS(AB12)) + V12,
      IF(U12=3,
        ((D12 - V12)*COS(RADIANS(AB12)) + (E12 - W12)*SIN(RADIANS(AB12)))*COS(RADIANS(AA12))
        + (F12 - X12)*SIN(RADIANS(AA12)) + V12,
        IF(U12=4,
          (D12*COS(RADIANS(AB12)) + E12*SIN(RADIANS(AB12)) + V12) + Y12*SIN(RADIANS(AA12)),
          IF(U12=5,
            D12 + Y12*SIN(RADIANS(AA12))*COS(RADIANS(AB12)),
            IF(U12=6,
              (D12*COS(RADIANS(AB12)) + E12*SIN(RADIANS(AB12)) + V12)
              + Y12*SIN(RADIANS(AA12))*SIN(RADIANS(Config!$H$18)),
              COS(RADIANS(AA12)) * (((D12 - V12)*COS(RADIANS(AB12)) + (E12 - W12)*SIN(RADIANS(AB12))))
              + SIN(RADIANS(AA12)) * (
                Config!$C$16*(F12 - X12)
                - Config!$C$17*(-(D12 - V12)*SIN(RADIANS(AB12)) + (E12 - W12)*COS(RADIANS(AB12)))
              )
              + (1 - COS(RADIANS(AA12))) * (
                ((D12 - V12)*COS(RADIANS(AB12)) + (E12 - W12)*SIN(RADIANS(AB12)))*Config!$C$15
                + (-(D12 - V12)*SIN(RADIANS(AB12)) + (E12 - W12)*COS(RADIANS(AB12)))*Config!$C$16
                + (F12 - X12)*Config!$C$17
              ) * Config!$C$15
              + V12
            )
          )
        )
      )
    )
  )
)</f>
        <v>0</v>
      </c>
      <c r="AE12" s="79">
        <f>IF(I12="","",
  IF(Config!$C$51=1, E12,
    IF(U12 &lt;= 2,
      (-(D12 - V12) * SIN(RADIANS(AB12)) + (E12 - W12) * COS(RADIANS(AB12))) * COS(RADIANS(AA12))
      + (F12 - X12) * SIN(RADIANS(AA12))
      + W12,
      IF(U12 = 3,
        (-(D12 - V12) * SIN(RADIANS(AB12)) + (E12 - W12) * COS(RADIANS(AB12)))
        + W12,
        IF(U12 = 4,
          -(D12) * SIN(RADIANS(AB12)) + (E12) * COS(RADIANS(AB12))
          + W12,
          IF(U12 = 5,
            E12 + Y12 * SIN(RADIANS(AA12)) * SIN(RADIANS(AB12)),
            IF(U12 = 6,
              (-(D12) * SIN(RADIANS(AB12)) + (E12) * COS(RADIANS(AB12)) + W12)
              + Y12 * (1 - COS(RADIANS(AA12))) * SIN(RADIANS(Config!$H$18)) * COS(RADIANS(Config!$H$18)),
              COS(RADIANS(AA12)) * (-(D12 - V12) * SIN(RADIANS(AB12)) + (E12 - W12) * COS(RADIANS(AB12)))
              + SIN(RADIANS(AA12)) * (
                Config!$C$17 * ((D12 - V12) * COS(RADIANS(AB12)) + (E12 - W12) * SIN(RADIANS(AB12)))
                - Config!$C$15 * (F12 - X12)
              )
              + (1 - COS(RADIANS(AA12))) * (
                ((D12 - V12) * COS(RADIANS(AB12)) + (E12 - W12) * SIN(RADIANS(AB12))) * Config!$C$15
                + (-(D12 - V12) * SIN(RADIANS(AB12)) + (E12 - W12) * COS(RADIANS(AB12))) * Config!$C$16
                + (F12 - X12) * Config!$C$17
              ) * Config!$C$16
              + W12
            )
          )
        )
      )
    )
  )
)</f>
        <v>0</v>
      </c>
      <c r="AF12" s="79">
        <f>IF(I12="","",
  IF(Config!$C$51=1, F12,
    IF(U12 &lt;= 2,
      -((-(D12 - V12) * SIN(RADIANS(AB12)) + (E12 - W12) * COS(RADIANS(AB12)))) * SIN(RADIANS(AA12))
      + (F12 - X12) * COS(RADIANS(AA12))
      + X12,
      IF(U12 = 3,
        -(((D12 - V12) * COS(RADIANS(AB12)) + (E12 - W12) * SIN(RADIANS(AB12)))) * SIN(RADIANS(AA12))
        + (F12 - X12) * COS(RADIANS(AA12))
        + X12,
        IF(U12 = 4,
          (F12 + X12) - Y12 * (1 - COS(RADIANS(AA12))),
          IF(U12 = 5,
            F12 - Y12 * (1 - COS(RADIANS(AA12))),
            IF(U12 = 6,
              (F12 + X12) - Y12 * SIN(RADIANS(Config!$H$18)) * SIN(RADIANS(Config!$H$18)) * (1 - COS(RADIANS(AA12))),
              COS(RADIANS(AA12)) * (F12 - X12)
              + SIN(RADIANS(AA12)) * (
                Config!$C$15 * (-(D12 - V12) * SIN(RADIANS(AB12)) + (E12 - W12) * COS(RADIANS(AB12)))
                - Config!$C$16 * ((D12 - V12) * COS(RADIANS(AB12)) + (E12 - W12) * SIN(RADIANS(AB12)))
              )
              + (1 - COS(RADIANS(AA12))) * (
                ((D12 - V12) * COS(RADIANS(AB12)) + (E12 - W12) * SIN(RADIANS(AB12))) * Config!$C$15
                + (-(D12 - V12) * SIN(RADIANS(AB12)) + (E12 - W12) * COS(RADIANS(AB12))) * Config!$C$16
                + (F12 - X12) * Config!$C$17
              ) * Config!$C$17
              + X12
            )
          )
        )
      )
    )
  )
)</f>
        <v>0</v>
      </c>
      <c r="AG12" s="72"/>
      <c r="AH12" s="96" t="str">
        <f>IF(I12="","",
  IF(OR(AA12="N/A", AA12=""),
    "N/A",
    IF(OR(
      AA12 &lt; IF(Config!$C$4=1,Config!$C$34,
        IF(Config!$C$4=2,Config!$D$34,
          IF(Config!$C$4=3,Config!$E$34,
            IF(Config!$C$4=4,Config!$F$34,
              IF(Config!$C$4=5,Config!$G$34,
                IF(Config!$C$4=6,Config!$H$34,Config!$I$34)
              )
            )
          )
        )
      ),
      AA12 &gt; IF(Config!$C$4=1,Config!$C$35,
        IF(Config!$C$4=2,Config!$D$35,
          IF(Config!$C$4=3,Config!$E$35,
            IF(Config!$C$4=4,Config!$F$35,
              IF(Config!$C$4=5,Config!$G$35,
                IF(Config!$C$4=6,Config!$H$35,Config!$I$35)
              )
            )
          )
        )
      )
    ),
    "⚠ OUT OF RANGE",
    "OK"
    )
  )
)</f>
        <v>OK</v>
      </c>
      <c r="AI12" s="96" t="str">
        <f>IF(I12="","",
  IF(OR(AB12="N/A", AB12=""),
    "N/A",
    IF(OR(
      AB12 &lt; IF(Config!$C$4=1,Config!$C$36,
        IF(Config!$C$4=2,Config!$D$36,
          IF(Config!$C$4=3,Config!$E$36,
            IF(Config!$C$4=4,Config!$F$36,
              IF(Config!$C$4=5,Config!$G$36,
                IF(Config!$C$4=6,Config!$H$36,Config!$I$36)
              )
            )
          )
        )
      ),
      AB12 &gt; IF(Config!$C$4=1,Config!$C$37,
        IF(Config!$C$4=2,Config!$D$37,
          IF(Config!$C$4=3,Config!$E$37,
            IF(Config!$C$4=4,Config!$F$37,
              IF(Config!$C$4=5,Config!$G$37,
                IF(Config!$C$4=6,Config!$H$37,Config!$I$37)
              )
            )
          )
        )
      )
    ),
    "⚠ OUT OF RANGE",
    "OK"
    )
  )
)</f>
        <v>OK</v>
      </c>
    </row>
    <row r="13" spans="1:35" ht="18" customHeight="1" x14ac:dyDescent="0.25">
      <c r="A13" s="43"/>
      <c r="B13" s="47">
        <v>9</v>
      </c>
      <c r="C13" s="71"/>
      <c r="D13" s="64">
        <v>25</v>
      </c>
      <c r="E13" s="64">
        <v>15</v>
      </c>
      <c r="F13" s="64">
        <v>-5</v>
      </c>
      <c r="G13" s="64">
        <v>0.33169999999999999</v>
      </c>
      <c r="H13" s="64">
        <v>0.24840000000000001</v>
      </c>
      <c r="I13" s="64">
        <v>0.91010000000000002</v>
      </c>
      <c r="J13" s="47"/>
      <c r="K13" s="79">
        <f>IF(
    I13="",
    "",
    IF(
        Config!$C$4&lt;=2,
        IF(
            AND(G13=0,H13=0),
            0,
            IF(
                H13&gt;=0,
                DEGREES(ACOS(I13)),
                -DEGREES(ACOS(I13))
            )
        ),
        IF(
            Config!$C$4=3,
            IF(
                AND(G13=0,H13=0),
                0,
                IF(
                    G13&gt;=0,
                    DEGREES(ACOS(I13)),
                    -DEGREES(ACOS(I13))
                )
            ),
            IF(
                Config!$C$4=4,
                IF(
                    AND(G13=0,H13=0),
                    0,
                    DEGREES(ATAN2(I13,G13))
                ),
                IF(
                    Config!$C$4=5,
                    IF(
                        AND(G13=0,H13=0),
                        0,
                        DEGREES(ACOS(I13))
                    ),
                    IF(
                        Config!$C$4=6,
                        IF(
                            AND(G13=0,H13=0),
                            0,
                            IF(
                                G13&gt;=0,
                                DEGREES(ACOS(2*I13-1)),
                                -DEGREES(ACOS(2*I13-1))
                            )
                        ),
                        IF(
                            AND(G13=0,H13=0),
                            0,
                            IF(
                                ((G13*Config!$C$16-H13*Config!$C$15))&lt;=0,
                                DEGREES(
                                    ACOS(
                                        MAX(
                                            -1,
                                            MIN(
                                                1,
                                                (I13-Config!$C$20)/Config!$C$21
                                            )
                                        )
                                    )
                                ),
                                -DEGREES(
                                    ACOS(
                                        MAX(
                                            -1,
                                            MIN(
                                                1,
                                                (I13-Config!$C$20)/Config!$C$21
                                            )
                                        )
                                    )
                                )
                            )
                        )
                    )
                )
            )
        )
    )
)</f>
        <v>24.480825554530341</v>
      </c>
      <c r="L13" s="79">
        <f>IF(
    I13="",
    "",
    IF(
        Config!$C$4&lt;=2,
        IF(
            AND(G13=0,H13=0),
            0,
            DEGREES(ATAN2(H13,G13))
        ),
        IF(
            Config!$C$4=3,
            IF(
                AND(G13=0,H13=0),
                0,
                DEGREES(ATAN2(G13,-H13))
            ),
            IF(
                Config!$C$4=4,
                0,
                IF(
                    Config!$C$4=5,
                    IF(
                        AND(G13=0,H13=0),
                        0,
                        DEGREES(ATAN2(H13,G13))
                    ),
                    IF(
                        Config!$C$4=6,
                        IF(
                            AND(G13=0,H13=0),
                            0,
                            DEGREES(ATAN2(H13,G13))
                        ),
                        0
                    )
                )
            )
        )
    )
)</f>
        <v>53.171580951769712</v>
      </c>
      <c r="M13" s="47"/>
      <c r="N13" s="79">
        <f>IF(I13="","",
  IF(Config!$C$51=1, D13,
    IF(U13&lt;=2,
      (D13 - V13)*COS(RADIANS(L13)) + (E13 - W13)*SIN(RADIANS(L13)) + V13,
      IF(U13=3,
        ((D13 - V13)*COS(RADIANS(L13)) + (E13 - W13)*SIN(RADIANS(L13)))*COS(RADIANS(K13))
        + (F13 - X13)*SIN(RADIANS(K13)) + V13,
        IF(U13=4,
          (D13*COS(RADIANS(L13)) + E13*SIN(RADIANS(L13)) + V13) + Y13*SIN(RADIANS(K13)),
          IF(U13=5,
            D13 + Y13*SIN(RADIANS(K13))*COS(RADIANS(L13)),
            IF(U13=6,
              (D13*COS(RADIANS(L13)) + E13*SIN(RADIANS(L13)) + V13)
              + Y13*SIN(RADIANS(K13))*SIN(RADIANS(Config!$H$18)),
              COS(RADIANS(K13)) * (((D13 - V13)*COS(RADIANS(L13)) + (E13 - W13)*SIN(RADIANS(L13))))
              + SIN(RADIANS(K13)) * (
                Config!$C$16*(F13 - X13)
                - Config!$C$17*(-(D13 - V13)*SIN(RADIANS(L13)) + (E13 - W13)*COS(RADIANS(L13)))
              )
              + (1 - COS(RADIANS(K13))) * (
                ((D13 - V13)*COS(RADIANS(L13)) + (E13 - W13)*SIN(RADIANS(L13)))*Config!$C$15
                + (-(D13 - V13)*SIN(RADIANS(L13)) + (E13 - W13)*COS(RADIANS(L13)))*Config!$C$16
                + (F13 - X13)*Config!$C$17
              ) * Config!$C$15
              + V13
            )
          )
        )
      )
    )
  )
)</f>
        <v>26.992029606457741</v>
      </c>
      <c r="O13" s="79">
        <f>IF(I13="","",
  IF(Config!$C$51=1, E13,
    IF(U13 &lt;= 2,
      (-(D13 - V13) * SIN(RADIANS(L13)) + (E13 - W13) * COS(RADIANS(L13))) * COS(RADIANS(K13))
      + (F13 - X13) * SIN(RADIANS(K13))
      + W13,
      IF(U13 = 3,
        (-(D13 - V13) * SIN(RADIANS(L13)) + (E13 - W13) * COS(RADIANS(L13)))
        + W13,
        IF(U13 = 4,
          -(D13) * SIN(RADIANS(L13)) + (E13) * COS(RADIANS(L13))
          + W13,
          IF(U13 = 5,
            E13 + Y13 * SIN(RADIANS(K13)) * SIN(RADIANS(L13)),
            IF(U13 = 6,
              (-(D13) * SIN(RADIANS(L13)) + (E13) * COS(RADIANS(L13)) + W13)
              + Y13 * (1 - COS(RADIANS(K13))) * SIN(RADIANS(Config!$H$18)) * COS(RADIANS(Config!$H$18)),
              COS(RADIANS(K13)) * (-(D13 - V13) * SIN(RADIANS(L13)) + (E13 - W13) * COS(RADIANS(L13)))
              + SIN(RADIANS(K13)) * (
                Config!$C$17 * ((D13 - V13) * COS(RADIANS(L13)) + (E13 - W13) * SIN(RADIANS(L13)))
                - Config!$C$15 * (F13 - X13)
              )
              + (1 - COS(RADIANS(K13))) * (
                ((D13 - V13) * COS(RADIANS(L13)) + (E13 - W13) * SIN(RADIANS(L13))) * Config!$C$15
                + (-(D13 - V13) * SIN(RADIANS(L13)) + (E13 - W13) * COS(RADIANS(L13))) * Config!$C$16
                + (F13 - X13) * Config!$C$17
              ) * Config!$C$16
              + W13
            )
          )
        )
      )
    )
  )
)</f>
        <v>-12.100829960512685</v>
      </c>
      <c r="P13" s="79">
        <f>IF(I13="","",
  IF(Config!$C$51=1, F13,
    IF(U13 &lt;= 2,
      -((-(D13 - V13) * SIN(RADIANS(L13)) + (E13 - W13) * COS(RADIANS(L13)))) * SIN(RADIANS(K13))
      + (F13 - X13) * COS(RADIANS(K13))
      + X13,
      IF(U13 = 3,
        -(((D13 - V13) * COS(RADIANS(L13)) + (E13 - W13) * SIN(RADIANS(L13)))) * SIN(RADIANS(K13))
        + (F13 - X13) * COS(RADIANS(K13))
        + X13,
        IF(U13 = 4,
          (F13 + X13) - Y13 * (1 - COS(RADIANS(K13))),
          IF(U13 = 5,
            F13 - Y13 * (1 - COS(RADIANS(K13))),
            IF(U13 = 6,
              (F13 + X13) - Y13 * SIN(RADIANS(Config!$H$18)) * SIN(RADIANS(Config!$H$18)) * (1 - COS(RADIANS(K13))),
              COS(RADIANS(K13)) * (F13 - X13)
              + SIN(RADIANS(K13)) * (
                Config!$C$15 * (-(D13 - V13) * SIN(RADIANS(L13)) + (E13 - W13) * COS(RADIANS(L13)))
                - Config!$C$16 * ((D13 - V13) * COS(RADIANS(L13)) + (E13 - W13) * SIN(RADIANS(L13)))
              )
              + (1 - COS(RADIANS(K13))) * (
                ((D13 - V13) * COS(RADIANS(L13)) + (E13 - W13) * SIN(RADIANS(L13))) * Config!$C$15
                + (-(D13 - V13) * SIN(RADIANS(L13)) + (E13 - W13) * COS(RADIANS(L13))) * Config!$C$16
                + (F13 - X13) * Config!$C$17
              ) * Config!$C$17
              + X13
            )
          )
        )
      )
    )
  )
)</f>
        <v>1.5874220210725376E-2</v>
      </c>
      <c r="Q13" s="47"/>
      <c r="R13" s="95" t="str">
        <f>IF(I13="","",
  IF(OR(
    K13 &lt; IF(Config!$C$4=1,Config!$C$34,
      IF(Config!$C$4=2,Config!$D$34,
        IF(Config!$C$4=3,Config!$E$34,
          IF(Config!$C$4=4,Config!$F$34,
            IF(Config!$C$4=5,Config!$G$34,
              IF(Config!$C$4=6,Config!$H$34,Config!$I$34)
            )
          )
        )
      )
    ),
    K13 &gt; IF(Config!$C$4=1,Config!$C$35,
      IF(Config!$C$4=2,Config!$D$35,
        IF(Config!$C$4=3,Config!$E$35,
          IF(Config!$C$4=4,Config!$F$35,
            IF(Config!$C$4=5,Config!$G$35,
              IF(Config!$C$4=6,Config!$H$35,Config!$I$35)
            )
          )
        )
      )
    )
  ),
    "⚠ OUT OF RANGE",
    "OK"
  )
)</f>
        <v>OK</v>
      </c>
      <c r="S13" s="95" t="str">
        <f>IF(I13="","",
  IF(OR(
    L13 &lt; IF(Config!$C$4=1,Config!$C$36,
      IF(Config!$C$4=2,Config!$D$36,
        IF(Config!$C$4=3,Config!$E$36,
          IF(Config!$C$4=4,Config!$F$36,
            IF(Config!$C$4=5,Config!$G$36,
              IF(Config!$C$4=6,Config!$H$36,Config!$I$36)
            )
          )
        )
      )
    ),
    L13 &gt; IF(Config!$C$4=1,Config!$C$37,
      IF(Config!$C$4=2,Config!$D$37,
        IF(Config!$C$4=3,Config!$E$37,
          IF(Config!$C$4=4,Config!$F$37,
            IF(Config!$C$4=5,Config!$G$37,
              IF(Config!$C$4=6,Config!$H$37,Config!$I$37)
            )
          )
        )
      )
    )
  ),
    "⚠ OUT OF RANGE",
    "OK"
  )
)</f>
        <v>OK</v>
      </c>
      <c r="T13" s="47"/>
      <c r="U13" s="79">
        <f>Config!$C$4</f>
        <v>1</v>
      </c>
      <c r="V13" s="79">
        <f>IF(U13=1, Config!$C$27,
  IF(U13=2, Config!$D$27,
    IF(U13=3, Config!$E$27,
      IF(U13=4, Config!$F$27,
        IF(U13=5, Config!$G$27,
          IF(U13=6, Config!$H$27,
            Config!$I$27
          )
        )
      )
    )
  )
)</f>
        <v>0</v>
      </c>
      <c r="W13" s="79">
        <f>IF(U13=1, Config!$C$28,
  IF(U13=2, Config!$D$28,
    IF(U13=3, Config!$E$28,
      IF(U13=4, Config!$F$28,
        IF(U13=5, Config!$G$28,
          IF(U13=6, Config!$H$28,
            Config!$I$28
          )
        )
      )
    )
  )
)</f>
        <v>0</v>
      </c>
      <c r="X13" s="79">
        <f>IF(U13=1, Config!$C$29,
  IF(U13=2, Config!$D$29,
    IF(U13=3, Config!$E$29,
      IF(U13=4, Config!$F$29,
        IF(U13=5, Config!$G$29,
          IF(U13=6, Config!$H$29,
            Config!$I$29
          )
        )
      )
    )
  )
)</f>
        <v>0</v>
      </c>
      <c r="Y13" s="79">
        <f>IF(U13=1, Config!$C$30,
  IF(U13=2, Config!$D$30,
    IF(U13=3, Config!$E$30,
      IF(U13=4, Config!$F$30,
        IF(U13=5, Config!$G$30,
          IF(U13=6, Config!$H$30,
            Config!$I$30
          )
        )
      )
    )
  )
)</f>
        <v>0</v>
      </c>
      <c r="AA13" s="79">
        <f t="shared" si="0"/>
        <v>-24.480825554530341</v>
      </c>
      <c r="AB13" s="79">
        <f t="shared" si="1"/>
        <v>-126.82841904823029</v>
      </c>
      <c r="AC13" s="72"/>
      <c r="AD13" s="79">
        <f>IF(I13="","",
  IF(Config!$C$51=1, D13,
    IF(U13&lt;=2,
      (D13 - V13)*COS(RADIANS(AB13)) + (E13 - W13)*SIN(RADIANS(AB13)) + V13,
      IF(U13=3,
        ((D13 - V13)*COS(RADIANS(AB13)) + (E13 - W13)*SIN(RADIANS(AB13)))*COS(RADIANS(AA13))
        + (F13 - X13)*SIN(RADIANS(AA13)) + V13,
        IF(U13=4,
          (D13*COS(RADIANS(AB13)) + E13*SIN(RADIANS(AB13)) + V13) + Y13*SIN(RADIANS(AA13)),
          IF(U13=5,
            D13 + Y13*SIN(RADIANS(AA13))*COS(RADIANS(AB13)),
            IF(U13=6,
              (D13*COS(RADIANS(AB13)) + E13*SIN(RADIANS(AB13)) + V13)
              + Y13*SIN(RADIANS(AA13))*SIN(RADIANS(Config!$H$18)),
              COS(RADIANS(AA13)) * (((D13 - V13)*COS(RADIANS(AB13)) + (E13 - W13)*SIN(RADIANS(AB13))))
              + SIN(RADIANS(AA13)) * (
                Config!$C$16*(F13 - X13)
                - Config!$C$17*(-(D13 - V13)*SIN(RADIANS(AB13)) + (E13 - W13)*COS(RADIANS(AB13)))
              )
              + (1 - COS(RADIANS(AA13))) * (
                ((D13 - V13)*COS(RADIANS(AB13)) + (E13 - W13)*SIN(RADIANS(AB13)))*Config!$C$15
                + (-(D13 - V13)*SIN(RADIANS(AB13)) + (E13 - W13)*COS(RADIANS(AB13)))*Config!$C$16
                + (F13 - X13)*Config!$C$17
              ) * Config!$C$15
              + V13
            )
          )
        )
      )
    )
  )
)</f>
        <v>-26.992029606457741</v>
      </c>
      <c r="AE13" s="79">
        <f>IF(I13="","",
  IF(Config!$C$51=1, E13,
    IF(U13 &lt;= 2,
      (-(D13 - V13) * SIN(RADIANS(AB13)) + (E13 - W13) * COS(RADIANS(AB13))) * COS(RADIANS(AA13))
      + (F13 - X13) * SIN(RADIANS(AA13))
      + W13,
      IF(U13 = 3,
        (-(D13 - V13) * SIN(RADIANS(AB13)) + (E13 - W13) * COS(RADIANS(AB13)))
        + W13,
        IF(U13 = 4,
          -(D13) * SIN(RADIANS(AB13)) + (E13) * COS(RADIANS(AB13))
          + W13,
          IF(U13 = 5,
            E13 + Y13 * SIN(RADIANS(AA13)) * SIN(RADIANS(AB13)),
            IF(U13 = 6,
              (-(D13) * SIN(RADIANS(AB13)) + (E13) * COS(RADIANS(AB13)) + W13)
              + Y13 * (1 - COS(RADIANS(AA13))) * SIN(RADIANS(Config!$H$18)) * COS(RADIANS(Config!$H$18)),
              COS(RADIANS(AA13)) * (-(D13 - V13) * SIN(RADIANS(AB13)) + (E13 - W13) * COS(RADIANS(AB13)))
              + SIN(RADIANS(AA13)) * (
                Config!$C$17 * ((D13 - V13) * COS(RADIANS(AB13)) + (E13 - W13) * SIN(RADIANS(AB13)))
                - Config!$C$15 * (F13 - X13)
              )
              + (1 - COS(RADIANS(AA13))) * (
                ((D13 - V13) * COS(RADIANS(AB13)) + (E13 - W13) * SIN(RADIANS(AB13))) * Config!$C$15
                + (-(D13 - V13) * SIN(RADIANS(AB13)) + (E13 - W13) * COS(RADIANS(AB13))) * Config!$C$16
                + (F13 - X13) * Config!$C$17
              ) * Config!$C$16
              + W13
            )
          )
        )
      )
    )
  )
)</f>
        <v>12.100829960512685</v>
      </c>
      <c r="AF13" s="79">
        <f>IF(I13="","",
  IF(Config!$C$51=1, F13,
    IF(U13 &lt;= 2,
      -((-(D13 - V13) * SIN(RADIANS(AB13)) + (E13 - W13) * COS(RADIANS(AB13)))) * SIN(RADIANS(AA13))
      + (F13 - X13) * COS(RADIANS(AA13))
      + X13,
      IF(U13 = 3,
        -(((D13 - V13) * COS(RADIANS(AB13)) + (E13 - W13) * SIN(RADIANS(AB13)))) * SIN(RADIANS(AA13))
        + (F13 - X13) * COS(RADIANS(AA13))
        + X13,
        IF(U13 = 4,
          (F13 + X13) - Y13 * (1 - COS(RADIANS(AA13))),
          IF(U13 = 5,
            F13 - Y13 * (1 - COS(RADIANS(AA13))),
            IF(U13 = 6,
              (F13 + X13) - Y13 * SIN(RADIANS(Config!$H$18)) * SIN(RADIANS(Config!$H$18)) * (1 - COS(RADIANS(AA13))),
              COS(RADIANS(AA13)) * (F13 - X13)
              + SIN(RADIANS(AA13)) * (
                Config!$C$15 * (-(D13 - V13) * SIN(RADIANS(AB13)) + (E13 - W13) * COS(RADIANS(AB13)))
                - Config!$C$16 * ((D13 - V13) * COS(RADIANS(AB13)) + (E13 - W13) * SIN(RADIANS(AB13)))
              )
              + (1 - COS(RADIANS(AA13))) * (
                ((D13 - V13) * COS(RADIANS(AB13)) + (E13 - W13) * SIN(RADIANS(AB13))) * Config!$C$15
                + (-(D13 - V13) * SIN(RADIANS(AB13)) + (E13 - W13) * COS(RADIANS(AB13))) * Config!$C$16
                + (F13 - X13) * Config!$C$17
              ) * Config!$C$17
              + X13
            )
          )
        )
      )
    )
  )
)</f>
        <v>1.5874220210725376E-2</v>
      </c>
      <c r="AG13" s="72"/>
      <c r="AH13" s="96" t="str">
        <f>IF(I13="","",
  IF(OR(AA13="N/A", AA13=""),
    "N/A",
    IF(OR(
      AA13 &lt; IF(Config!$C$4=1,Config!$C$34,
        IF(Config!$C$4=2,Config!$D$34,
          IF(Config!$C$4=3,Config!$E$34,
            IF(Config!$C$4=4,Config!$F$34,
              IF(Config!$C$4=5,Config!$G$34,
                IF(Config!$C$4=6,Config!$H$34,Config!$I$34)
              )
            )
          )
        )
      ),
      AA13 &gt; IF(Config!$C$4=1,Config!$C$35,
        IF(Config!$C$4=2,Config!$D$35,
          IF(Config!$C$4=3,Config!$E$35,
            IF(Config!$C$4=4,Config!$F$35,
              IF(Config!$C$4=5,Config!$G$35,
                IF(Config!$C$4=6,Config!$H$35,Config!$I$35)
              )
            )
          )
        )
      )
    ),
    "⚠ OUT OF RANGE",
    "OK"
    )
  )
)</f>
        <v>OK</v>
      </c>
      <c r="AI13" s="96" t="str">
        <f>IF(I13="","",
  IF(OR(AB13="N/A", AB13=""),
    "N/A",
    IF(OR(
      AB13 &lt; IF(Config!$C$4=1,Config!$C$36,
        IF(Config!$C$4=2,Config!$D$36,
          IF(Config!$C$4=3,Config!$E$36,
            IF(Config!$C$4=4,Config!$F$36,
              IF(Config!$C$4=5,Config!$G$36,
                IF(Config!$C$4=6,Config!$H$36,Config!$I$36)
              )
            )
          )
        )
      ),
      AB13 &gt; IF(Config!$C$4=1,Config!$C$37,
        IF(Config!$C$4=2,Config!$D$37,
          IF(Config!$C$4=3,Config!$E$37,
            IF(Config!$C$4=4,Config!$F$37,
              IF(Config!$C$4=5,Config!$G$37,
                IF(Config!$C$4=6,Config!$H$37,Config!$I$37)
              )
            )
          )
        )
      )
    ),
    "⚠ OUT OF RANGE",
    "OK"
    )
  )
)</f>
        <v>OK</v>
      </c>
    </row>
    <row r="14" spans="1:35" ht="18" customHeight="1" x14ac:dyDescent="0.25">
      <c r="A14" s="43"/>
      <c r="B14" s="47">
        <v>10</v>
      </c>
      <c r="C14" s="71"/>
      <c r="D14" s="64">
        <v>10</v>
      </c>
      <c r="E14" s="64">
        <v>-10</v>
      </c>
      <c r="F14" s="64">
        <v>5</v>
      </c>
      <c r="G14" s="64">
        <v>0.50380000000000003</v>
      </c>
      <c r="H14" s="64">
        <v>0.31730000000000003</v>
      </c>
      <c r="I14" s="64">
        <v>0.8034</v>
      </c>
      <c r="J14" s="47"/>
      <c r="K14" s="79">
        <f>IF(
    I14="",
    "",
    IF(
        Config!$C$4&lt;=2,
        IF(
            AND(G14=0,H14=0),
            0,
            IF(
                H14&gt;=0,
                DEGREES(ACOS(I14)),
                -DEGREES(ACOS(I14))
            )
        ),
        IF(
            Config!$C$4=3,
            IF(
                AND(G14=0,H14=0),
                0,
                IF(
                    G14&gt;=0,
                    DEGREES(ACOS(I14)),
                    -DEGREES(ACOS(I14))
                )
            ),
            IF(
                Config!$C$4=4,
                IF(
                    AND(G14=0,H14=0),
                    0,
                    DEGREES(ATAN2(I14,G14))
                ),
                IF(
                    Config!$C$4=5,
                    IF(
                        AND(G14=0,H14=0),
                        0,
                        DEGREES(ACOS(I14))
                    ),
                    IF(
                        Config!$C$4=6,
                        IF(
                            AND(G14=0,H14=0),
                            0,
                            IF(
                                G14&gt;=0,
                                DEGREES(ACOS(2*I14-1)),
                                -DEGREES(ACOS(2*I14-1))
                            )
                        ),
                        IF(
                            AND(G14=0,H14=0),
                            0,
                            IF(
                                ((G14*Config!$C$16-H14*Config!$C$15))&lt;=0,
                                DEGREES(
                                    ACOS(
                                        MAX(
                                            -1,
                                            MIN(
                                                1,
                                                (I14-Config!$C$20)/Config!$C$21
                                            )
                                        )
                                    )
                                ),
                                -DEGREES(
                                    ACOS(
                                        MAX(
                                            -1,
                                            MIN(
                                                1,
                                                (I14-Config!$C$20)/Config!$C$21
                                            )
                                        )
                                    )
                                )
                            )
                        )
                    )
                )
            )
        )
    )
)</f>
        <v>36.543983884446511</v>
      </c>
      <c r="L14" s="79">
        <f>IF(
    I14="",
    "",
    IF(
        Config!$C$4&lt;=2,
        IF(
            AND(G14=0,H14=0),
            0,
            DEGREES(ATAN2(H14,G14))
        ),
        IF(
            Config!$C$4=3,
            IF(
                AND(G14=0,H14=0),
                0,
                DEGREES(ATAN2(G14,-H14))
            ),
            IF(
                Config!$C$4=4,
                0,
                IF(
                    Config!$C$4=5,
                    IF(
                        AND(G14=0,H14=0),
                        0,
                        DEGREES(ATAN2(H14,G14))
                    ),
                    IF(
                        Config!$C$4=6,
                        IF(
                            AND(G14=0,H14=0),
                            0,
                            DEGREES(ATAN2(H14,G14))
                        ),
                        0
                    )
                )
            )
        )
    )
)</f>
        <v>57.796725837354749</v>
      </c>
      <c r="M14" s="47"/>
      <c r="N14" s="79">
        <f>IF(I14="","",
  IF(Config!$C$51=1, D14,
    IF(U14&lt;=2,
      (D14 - V14)*COS(RADIANS(L14)) + (E14 - W14)*SIN(RADIANS(L14)) + V14,
      IF(U14=3,
        ((D14 - V14)*COS(RADIANS(L14)) + (E14 - W14)*SIN(RADIANS(L14)))*COS(RADIANS(K14))
        + (F14 - X14)*SIN(RADIANS(K14)) + V14,
        IF(U14=4,
          (D14*COS(RADIANS(L14)) + E14*SIN(RADIANS(L14)) + V14) + Y14*SIN(RADIANS(K14)),
          IF(U14=5,
            D14 + Y14*SIN(RADIANS(K14))*COS(RADIANS(L14)),
            IF(U14=6,
              (D14*COS(RADIANS(L14)) + E14*SIN(RADIANS(L14)) + V14)
              + Y14*SIN(RADIANS(K14))*SIN(RADIANS(Config!$H$18)),
              COS(RADIANS(K14)) * (((D14 - V14)*COS(RADIANS(L14)) + (E14 - W14)*SIN(RADIANS(L14))))
              + SIN(RADIANS(K14)) * (
                Config!$C$16*(F14 - X14)
                - Config!$C$17*(-(D14 - V14)*SIN(RADIANS(L14)) + (E14 - W14)*COS(RADIANS(L14)))
              )
              + (1 - COS(RADIANS(K14))) * (
                ((D14 - V14)*COS(RADIANS(L14)) + (E14 - W14)*SIN(RADIANS(L14)))*Config!$C$15
                + (-(D14 - V14)*SIN(RADIANS(L14)) + (E14 - W14)*COS(RADIANS(L14)))*Config!$C$16
                + (F14 - X14)*Config!$C$17
              ) * Config!$C$15
              + V14
            )
          )
        )
      )
    )
  )
)</f>
        <v>-3.1323808273455249</v>
      </c>
      <c r="O14" s="79">
        <f>IF(I14="","",
  IF(Config!$C$51=1, E14,
    IF(U14 &lt;= 2,
      (-(D14 - V14) * SIN(RADIANS(L14)) + (E14 - W14) * COS(RADIANS(L14))) * COS(RADIANS(K14))
      + (F14 - X14) * SIN(RADIANS(K14))
      + W14,
      IF(U14 = 3,
        (-(D14 - V14) * SIN(RADIANS(L14)) + (E14 - W14) * COS(RADIANS(L14)))
        + W14,
        IF(U14 = 4,
          -(D14) * SIN(RADIANS(L14)) + (E14) * COS(RADIANS(L14))
          + W14,
          IF(U14 = 5,
            E14 + Y14 * SIN(RADIANS(K14)) * SIN(RADIANS(L14)),
            IF(U14 = 6,
              (-(D14) * SIN(RADIANS(L14)) + (E14) * COS(RADIANS(L14)) + W14)
              + Y14 * (1 - COS(RADIANS(K14))) * SIN(RADIANS(Config!$H$18)) * COS(RADIANS(Config!$H$18)),
              COS(RADIANS(K14)) * (-(D14 - V14) * SIN(RADIANS(L14)) + (E14 - W14) * COS(RADIANS(L14)))
              + SIN(RADIANS(K14)) * (
                Config!$C$17 * ((D14 - V14) * COS(RADIANS(L14)) + (E14 - W14) * SIN(RADIANS(L14)))
                - Config!$C$15 * (F14 - X14)
              )
              + (1 - COS(RADIANS(K14))) * (
                ((D14 - V14) * COS(RADIANS(L14)) + (E14 - W14) * SIN(RADIANS(L14))) * Config!$C$15
                + (-(D14 - V14) * SIN(RADIANS(L14)) + (E14 - W14) * COS(RADIANS(L14))) * Config!$C$16
                + (F14 - X14) * Config!$C$17
              ) * Config!$C$16
              + W14
            )
          )
        )
      )
    )
  )
)</f>
        <v>-8.1023892096444676</v>
      </c>
      <c r="P14" s="79">
        <f>IF(I14="","",
  IF(Config!$C$51=1, F14,
    IF(U14 &lt;= 2,
      -((-(D14 - V14) * SIN(RADIANS(L14)) + (E14 - W14) * COS(RADIANS(L14)))) * SIN(RADIANS(K14))
      + (F14 - X14) * COS(RADIANS(K14))
      + X14,
      IF(U14 = 3,
        -(((D14 - V14) * COS(RADIANS(L14)) + (E14 - W14) * SIN(RADIANS(L14)))) * SIN(RADIANS(K14))
        + (F14 - X14) * COS(RADIANS(K14))
        + X14,
        IF(U14 = 4,
          (F14 + X14) - Y14 * (1 - COS(RADIANS(K14))),
          IF(U14 = 5,
            F14 - Y14 * (1 - COS(RADIANS(K14))),
            IF(U14 = 6,
              (F14 + X14) - Y14 * SIN(RADIANS(Config!$H$18)) * SIN(RADIANS(Config!$H$18)) * (1 - COS(RADIANS(K14))),
              COS(RADIANS(K14)) * (F14 - X14)
              + SIN(RADIANS(K14)) * (
                Config!$C$15 * (-(D14 - V14) * SIN(RADIANS(L14)) + (E14 - W14) * COS(RADIANS(L14)))
                - Config!$C$16 * ((D14 - V14) * COS(RADIANS(L14)) + (E14 - W14) * SIN(RADIANS(L14)))
              )
              + (1 - COS(RADIANS(K14))) * (
                ((D14 - V14) * COS(RADIANS(L14)) + (E14 - W14) * SIN(RADIANS(L14))) * Config!$C$15
                + (-(D14 - V14) * SIN(RADIANS(L14)) + (E14 - W14) * COS(RADIANS(L14))) * Config!$C$16
                + (F14 - X14) * Config!$C$17
              ) * Config!$C$17
              + X14
            )
          )
        )
      )
    )
  )
)</f>
        <v>12.228633588750423</v>
      </c>
      <c r="Q14" s="47"/>
      <c r="R14" s="95" t="str">
        <f>IF(I14="","",
  IF(OR(
    K14 &lt; IF(Config!$C$4=1,Config!$C$34,
      IF(Config!$C$4=2,Config!$D$34,
        IF(Config!$C$4=3,Config!$E$34,
          IF(Config!$C$4=4,Config!$F$34,
            IF(Config!$C$4=5,Config!$G$34,
              IF(Config!$C$4=6,Config!$H$34,Config!$I$34)
            )
          )
        )
      )
    ),
    K14 &gt; IF(Config!$C$4=1,Config!$C$35,
      IF(Config!$C$4=2,Config!$D$35,
        IF(Config!$C$4=3,Config!$E$35,
          IF(Config!$C$4=4,Config!$F$35,
            IF(Config!$C$4=5,Config!$G$35,
              IF(Config!$C$4=6,Config!$H$35,Config!$I$35)
            )
          )
        )
      )
    )
  ),
    "⚠ OUT OF RANGE",
    "OK"
  )
)</f>
        <v>⚠ OUT OF RANGE</v>
      </c>
      <c r="S14" s="95" t="str">
        <f>IF(I14="","",
  IF(OR(
    L14 &lt; IF(Config!$C$4=1,Config!$C$36,
      IF(Config!$C$4=2,Config!$D$36,
        IF(Config!$C$4=3,Config!$E$36,
          IF(Config!$C$4=4,Config!$F$36,
            IF(Config!$C$4=5,Config!$G$36,
              IF(Config!$C$4=6,Config!$H$36,Config!$I$36)
            )
          )
        )
      )
    ),
    L14 &gt; IF(Config!$C$4=1,Config!$C$37,
      IF(Config!$C$4=2,Config!$D$37,
        IF(Config!$C$4=3,Config!$E$37,
          IF(Config!$C$4=4,Config!$F$37,
            IF(Config!$C$4=5,Config!$G$37,
              IF(Config!$C$4=6,Config!$H$37,Config!$I$37)
            )
          )
        )
      )
    )
  ),
    "⚠ OUT OF RANGE",
    "OK"
  )
)</f>
        <v>OK</v>
      </c>
      <c r="T14" s="47"/>
      <c r="U14" s="79">
        <f>Config!$C$4</f>
        <v>1</v>
      </c>
      <c r="V14" s="79">
        <f>IF(U14=1, Config!$C$27,
  IF(U14=2, Config!$D$27,
    IF(U14=3, Config!$E$27,
      IF(U14=4, Config!$F$27,
        IF(U14=5, Config!$G$27,
          IF(U14=6, Config!$H$27,
            Config!$I$27
          )
        )
      )
    )
  )
)</f>
        <v>0</v>
      </c>
      <c r="W14" s="79">
        <f>IF(U14=1, Config!$C$28,
  IF(U14=2, Config!$D$28,
    IF(U14=3, Config!$E$28,
      IF(U14=4, Config!$F$28,
        IF(U14=5, Config!$G$28,
          IF(U14=6, Config!$H$28,
            Config!$I$28
          )
        )
      )
    )
  )
)</f>
        <v>0</v>
      </c>
      <c r="X14" s="79">
        <f>IF(U14=1, Config!$C$29,
  IF(U14=2, Config!$D$29,
    IF(U14=3, Config!$E$29,
      IF(U14=4, Config!$F$29,
        IF(U14=5, Config!$G$29,
          IF(U14=6, Config!$H$29,
            Config!$I$29
          )
        )
      )
    )
  )
)</f>
        <v>0</v>
      </c>
      <c r="Y14" s="79">
        <f>IF(U14=1, Config!$C$30,
  IF(U14=2, Config!$D$30,
    IF(U14=3, Config!$E$30,
      IF(U14=4, Config!$F$30,
        IF(U14=5, Config!$G$30,
          IF(U14=6, Config!$H$30,
            Config!$I$30
          )
        )
      )
    )
  )
)</f>
        <v>0</v>
      </c>
      <c r="AA14" s="79">
        <f t="shared" si="0"/>
        <v>-36.543983884446511</v>
      </c>
      <c r="AB14" s="79">
        <f t="shared" si="1"/>
        <v>-122.20327416264524</v>
      </c>
      <c r="AC14" s="72"/>
      <c r="AD14" s="79">
        <f>IF(I14="","",
  IF(Config!$C$51=1, D14,
    IF(U14&lt;=2,
      (D14 - V14)*COS(RADIANS(AB14)) + (E14 - W14)*SIN(RADIANS(AB14)) + V14,
      IF(U14=3,
        ((D14 - V14)*COS(RADIANS(AB14)) + (E14 - W14)*SIN(RADIANS(AB14)))*COS(RADIANS(AA14))
        + (F14 - X14)*SIN(RADIANS(AA14)) + V14,
        IF(U14=4,
          (D14*COS(RADIANS(AB14)) + E14*SIN(RADIANS(AB14)) + V14) + Y14*SIN(RADIANS(AA14)),
          IF(U14=5,
            D14 + Y14*SIN(RADIANS(AA14))*COS(RADIANS(AB14)),
            IF(U14=6,
              (D14*COS(RADIANS(AB14)) + E14*SIN(RADIANS(AB14)) + V14)
              + Y14*SIN(RADIANS(AA14))*SIN(RADIANS(Config!$H$18)),
              COS(RADIANS(AA14)) * (((D14 - V14)*COS(RADIANS(AB14)) + (E14 - W14)*SIN(RADIANS(AB14))))
              + SIN(RADIANS(AA14)) * (
                Config!$C$16*(F14 - X14)
                - Config!$C$17*(-(D14 - V14)*SIN(RADIANS(AB14)) + (E14 - W14)*COS(RADIANS(AB14)))
              )
              + (1 - COS(RADIANS(AA14))) * (
                ((D14 - V14)*COS(RADIANS(AB14)) + (E14 - W14)*SIN(RADIANS(AB14)))*Config!$C$15
                + (-(D14 - V14)*SIN(RADIANS(AB14)) + (E14 - W14)*COS(RADIANS(AB14)))*Config!$C$16
                + (F14 - X14)*Config!$C$17
              ) * Config!$C$15
              + V14
            )
          )
        )
      )
    )
  )
)</f>
        <v>3.1323808273455267</v>
      </c>
      <c r="AE14" s="79">
        <f>IF(I14="","",
  IF(Config!$C$51=1, E14,
    IF(U14 &lt;= 2,
      (-(D14 - V14) * SIN(RADIANS(AB14)) + (E14 - W14) * COS(RADIANS(AB14))) * COS(RADIANS(AA14))
      + (F14 - X14) * SIN(RADIANS(AA14))
      + W14,
      IF(U14 = 3,
        (-(D14 - V14) * SIN(RADIANS(AB14)) + (E14 - W14) * COS(RADIANS(AB14)))
        + W14,
        IF(U14 = 4,
          -(D14) * SIN(RADIANS(AB14)) + (E14) * COS(RADIANS(AB14))
          + W14,
          IF(U14 = 5,
            E14 + Y14 * SIN(RADIANS(AA14)) * SIN(RADIANS(AB14)),
            IF(U14 = 6,
              (-(D14) * SIN(RADIANS(AB14)) + (E14) * COS(RADIANS(AB14)) + W14)
              + Y14 * (1 - COS(RADIANS(AA14))) * SIN(RADIANS(Config!$H$18)) * COS(RADIANS(Config!$H$18)),
              COS(RADIANS(AA14)) * (-(D14 - V14) * SIN(RADIANS(AB14)) + (E14 - W14) * COS(RADIANS(AB14)))
              + SIN(RADIANS(AA14)) * (
                Config!$C$17 * ((D14 - V14) * COS(RADIANS(AB14)) + (E14 - W14) * SIN(RADIANS(AB14)))
                - Config!$C$15 * (F14 - X14)
              )
              + (1 - COS(RADIANS(AA14))) * (
                ((D14 - V14) * COS(RADIANS(AB14)) + (E14 - W14) * SIN(RADIANS(AB14))) * Config!$C$15
                + (-(D14 - V14) * SIN(RADIANS(AB14)) + (E14 - W14) * COS(RADIANS(AB14))) * Config!$C$16
                + (F14 - X14) * Config!$C$17
              ) * Config!$C$16
              + W14
            )
          )
        )
      )
    )
  )
)</f>
        <v>8.1023892096444676</v>
      </c>
      <c r="AF14" s="79">
        <f>IF(I14="","",
  IF(Config!$C$51=1, F14,
    IF(U14 &lt;= 2,
      -((-(D14 - V14) * SIN(RADIANS(AB14)) + (E14 - W14) * COS(RADIANS(AB14)))) * SIN(RADIANS(AA14))
      + (F14 - X14) * COS(RADIANS(AA14))
      + X14,
      IF(U14 = 3,
        -(((D14 - V14) * COS(RADIANS(AB14)) + (E14 - W14) * SIN(RADIANS(AB14)))) * SIN(RADIANS(AA14))
        + (F14 - X14) * COS(RADIANS(AA14))
        + X14,
        IF(U14 = 4,
          (F14 + X14) - Y14 * (1 - COS(RADIANS(AA14))),
          IF(U14 = 5,
            F14 - Y14 * (1 - COS(RADIANS(AA14))),
            IF(U14 = 6,
              (F14 + X14) - Y14 * SIN(RADIANS(Config!$H$18)) * SIN(RADIANS(Config!$H$18)) * (1 - COS(RADIANS(AA14))),
              COS(RADIANS(AA14)) * (F14 - X14)
              + SIN(RADIANS(AA14)) * (
                Config!$C$15 * (-(D14 - V14) * SIN(RADIANS(AB14)) + (E14 - W14) * COS(RADIANS(AB14)))
                - Config!$C$16 * ((D14 - V14) * COS(RADIANS(AB14)) + (E14 - W14) * SIN(RADIANS(AB14)))
              )
              + (1 - COS(RADIANS(AA14))) * (
                ((D14 - V14) * COS(RADIANS(AB14)) + (E14 - W14) * SIN(RADIANS(AB14))) * Config!$C$15
                + (-(D14 - V14) * SIN(RADIANS(AB14)) + (E14 - W14) * COS(RADIANS(AB14))) * Config!$C$16
                + (F14 - X14) * Config!$C$17
              ) * Config!$C$17
              + X14
            )
          )
        )
      )
    )
  )
)</f>
        <v>12.228633588750423</v>
      </c>
      <c r="AG14" s="72"/>
      <c r="AH14" s="96" t="str">
        <f>IF(I14="","",
  IF(OR(AA14="N/A", AA14=""),
    "N/A",
    IF(OR(
      AA14 &lt; IF(Config!$C$4=1,Config!$C$34,
        IF(Config!$C$4=2,Config!$D$34,
          IF(Config!$C$4=3,Config!$E$34,
            IF(Config!$C$4=4,Config!$F$34,
              IF(Config!$C$4=5,Config!$G$34,
                IF(Config!$C$4=6,Config!$H$34,Config!$I$34)
              )
            )
          )
        )
      ),
      AA14 &gt; IF(Config!$C$4=1,Config!$C$35,
        IF(Config!$C$4=2,Config!$D$35,
          IF(Config!$C$4=3,Config!$E$35,
            IF(Config!$C$4=4,Config!$F$35,
              IF(Config!$C$4=5,Config!$G$35,
                IF(Config!$C$4=6,Config!$H$35,Config!$I$35)
              )
            )
          )
        )
      )
    ),
    "⚠ OUT OF RANGE",
    "OK"
    )
  )
)</f>
        <v>OK</v>
      </c>
      <c r="AI14" s="96" t="str">
        <f>IF(I14="","",
  IF(OR(AB14="N/A", AB14=""),
    "N/A",
    IF(OR(
      AB14 &lt; IF(Config!$C$4=1,Config!$C$36,
        IF(Config!$C$4=2,Config!$D$36,
          IF(Config!$C$4=3,Config!$E$36,
            IF(Config!$C$4=4,Config!$F$36,
              IF(Config!$C$4=5,Config!$G$36,
                IF(Config!$C$4=6,Config!$H$36,Config!$I$36)
              )
            )
          )
        )
      ),
      AB14 &gt; IF(Config!$C$4=1,Config!$C$37,
        IF(Config!$C$4=2,Config!$D$37,
          IF(Config!$C$4=3,Config!$E$37,
            IF(Config!$C$4=4,Config!$F$37,
              IF(Config!$C$4=5,Config!$G$37,
                IF(Config!$C$4=6,Config!$H$37,Config!$I$37)
              )
            )
          )
        )
      )
    ),
    "⚠ OUT OF RANGE",
    "OK"
    )
  )
)</f>
        <v>OK</v>
      </c>
    </row>
    <row r="15" spans="1:35" ht="18" customHeight="1" x14ac:dyDescent="0.25">
      <c r="A15" s="43"/>
      <c r="B15" s="47">
        <v>11</v>
      </c>
      <c r="C15" s="71" t="s">
        <v>298</v>
      </c>
      <c r="D15" s="64">
        <v>-86</v>
      </c>
      <c r="E15" s="64">
        <v>-120.03</v>
      </c>
      <c r="F15" s="64">
        <v>22.3401</v>
      </c>
      <c r="G15" s="64">
        <v>0</v>
      </c>
      <c r="H15" s="64">
        <v>-1</v>
      </c>
      <c r="I15" s="64">
        <v>0</v>
      </c>
      <c r="J15" s="47"/>
      <c r="K15" s="79">
        <f>IF(
    I15="",
    "",
    IF(
        Config!$C$4&lt;=2,
        IF(
            AND(G15=0,H15=0),
            0,
            IF(
                H15&gt;=0,
                DEGREES(ACOS(I15)),
                -DEGREES(ACOS(I15))
            )
        ),
        IF(
            Config!$C$4=3,
            IF(
                AND(G15=0,H15=0),
                0,
                IF(
                    G15&gt;=0,
                    DEGREES(ACOS(I15)),
                    -DEGREES(ACOS(I15))
                )
            ),
            IF(
                Config!$C$4=4,
                IF(
                    AND(G15=0,H15=0),
                    0,
                    DEGREES(ATAN2(I15,G15))
                ),
                IF(
                    Config!$C$4=5,
                    IF(
                        AND(G15=0,H15=0),
                        0,
                        DEGREES(ACOS(I15))
                    ),
                    IF(
                        Config!$C$4=6,
                        IF(
                            AND(G15=0,H15=0),
                            0,
                            IF(
                                G15&gt;=0,
                                DEGREES(ACOS(2*I15-1)),
                                -DEGREES(ACOS(2*I15-1))
                            )
                        ),
                        IF(
                            AND(G15=0,H15=0),
                            0,
                            IF(
                                ((G15*Config!$C$16-H15*Config!$C$15))&lt;=0,
                                DEGREES(
                                    ACOS(
                                        MAX(
                                            -1,
                                            MIN(
                                                1,
                                                (I15-Config!$C$20)/Config!$C$21
                                            )
                                        )
                                    )
                                ),
                                -DEGREES(
                                    ACOS(
                                        MAX(
                                            -1,
                                            MIN(
                                                1,
                                                (I15-Config!$C$20)/Config!$C$21
                                            )
                                        )
                                    )
                                )
                            )
                        )
                    )
                )
            )
        )
    )
)</f>
        <v>-90</v>
      </c>
      <c r="L15" s="79">
        <f>IF(
    I15="",
    "",
    IF(
        Config!$C$4&lt;=2,
        IF(
            AND(G15=0,H15=0),
            0,
            DEGREES(ATAN2(H15,G15))
        ),
        IF(
            Config!$C$4=3,
            IF(
                AND(G15=0,H15=0),
                0,
                DEGREES(ATAN2(G15,-H15))
            ),
            IF(
                Config!$C$4=4,
                0,
                IF(
                    Config!$C$4=5,
                    IF(
                        AND(G15=0,H15=0),
                        0,
                        DEGREES(ATAN2(H15,G15))
                    ),
                    IF(
                        Config!$C$4=6,
                        IF(
                            AND(G15=0,H15=0),
                            0,
                            DEGREES(ATAN2(H15,G15))
                        ),
                        0
                    )
                )
            )
        )
    )
)</f>
        <v>180</v>
      </c>
      <c r="M15" s="47"/>
      <c r="N15" s="79">
        <f>IF(I15="","",
  IF(Config!$C$51=1, D15,
    IF(U15&lt;=2,
      (D15 - V15)*COS(RADIANS(L15)) + (E15 - W15)*SIN(RADIANS(L15)) + V15,
      IF(U15=3,
        ((D15 - V15)*COS(RADIANS(L15)) + (E15 - W15)*SIN(RADIANS(L15)))*COS(RADIANS(K15))
        + (F15 - X15)*SIN(RADIANS(K15)) + V15,
        IF(U15=4,
          (D15*COS(RADIANS(L15)) + E15*SIN(RADIANS(L15)) + V15) + Y15*SIN(RADIANS(K15)),
          IF(U15=5,
            D15 + Y15*SIN(RADIANS(K15))*COS(RADIANS(L15)),
            IF(U15=6,
              (D15*COS(RADIANS(L15)) + E15*SIN(RADIANS(L15)) + V15)
              + Y15*SIN(RADIANS(K15))*SIN(RADIANS(Config!$H$18)),
              COS(RADIANS(K15)) * (((D15 - V15)*COS(RADIANS(L15)) + (E15 - W15)*SIN(RADIANS(L15))))
              + SIN(RADIANS(K15)) * (
                Config!$C$16*(F15 - X15)
                - Config!$C$17*(-(D15 - V15)*SIN(RADIANS(L15)) + (E15 - W15)*COS(RADIANS(L15)))
              )
              + (1 - COS(RADIANS(K15))) * (
                ((D15 - V15)*COS(RADIANS(L15)) + (E15 - W15)*SIN(RADIANS(L15)))*Config!$C$15
                + (-(D15 - V15)*SIN(RADIANS(L15)) + (E15 - W15)*COS(RADIANS(L15)))*Config!$C$16
                + (F15 - X15)*Config!$C$17
              ) * Config!$C$15
              + V15
            )
          )
        )
      )
    )
  )
)</f>
        <v>85.999999999999986</v>
      </c>
      <c r="O15" s="79">
        <f>IF(I15="","",
  IF(Config!$C$51=1, E15,
    IF(U15 &lt;= 2,
      (-(D15 - V15) * SIN(RADIANS(L15)) + (E15 - W15) * COS(RADIANS(L15))) * COS(RADIANS(K15))
      + (F15 - X15) * SIN(RADIANS(K15))
      + W15,
      IF(U15 = 3,
        (-(D15 - V15) * SIN(RADIANS(L15)) + (E15 - W15) * COS(RADIANS(L15)))
        + W15,
        IF(U15 = 4,
          -(D15) * SIN(RADIANS(L15)) + (E15) * COS(RADIANS(L15))
          + W15,
          IF(U15 = 5,
            E15 + Y15 * SIN(RADIANS(K15)) * SIN(RADIANS(L15)),
            IF(U15 = 6,
              (-(D15) * SIN(RADIANS(L15)) + (E15) * COS(RADIANS(L15)) + W15)
              + Y15 * (1 - COS(RADIANS(K15))) * SIN(RADIANS(Config!$H$18)) * COS(RADIANS(Config!$H$18)),
              COS(RADIANS(K15)) * (-(D15 - V15) * SIN(RADIANS(L15)) + (E15 - W15) * COS(RADIANS(L15)))
              + SIN(RADIANS(K15)) * (
                Config!$C$17 * ((D15 - V15) * COS(RADIANS(L15)) + (E15 - W15) * SIN(RADIANS(L15)))
                - Config!$C$15 * (F15 - X15)
              )
              + (1 - COS(RADIANS(K15))) * (
                ((D15 - V15) * COS(RADIANS(L15)) + (E15 - W15) * SIN(RADIANS(L15))) * Config!$C$15
                + (-(D15 - V15) * SIN(RADIANS(L15)) + (E15 - W15) * COS(RADIANS(L15))) * Config!$C$16
                + (F15 - X15) * Config!$C$17
              ) * Config!$C$16
              + W15
            )
          )
        )
      )
    )
  )
)</f>
        <v>-22.340099999999993</v>
      </c>
      <c r="P15" s="79">
        <f>IF(I15="","",
  IF(Config!$C$51=1, F15,
    IF(U15 &lt;= 2,
      -((-(D15 - V15) * SIN(RADIANS(L15)) + (E15 - W15) * COS(RADIANS(L15)))) * SIN(RADIANS(K15))
      + (F15 - X15) * COS(RADIANS(K15))
      + X15,
      IF(U15 = 3,
        -(((D15 - V15) * COS(RADIANS(L15)) + (E15 - W15) * SIN(RADIANS(L15)))) * SIN(RADIANS(K15))
        + (F15 - X15) * COS(RADIANS(K15))
        + X15,
        IF(U15 = 4,
          (F15 + X15) - Y15 * (1 - COS(RADIANS(K15))),
          IF(U15 = 5,
            F15 - Y15 * (1 - COS(RADIANS(K15))),
            IF(U15 = 6,
              (F15 + X15) - Y15 * SIN(RADIANS(Config!$H$18)) * SIN(RADIANS(Config!$H$18)) * (1 - COS(RADIANS(K15))),
              COS(RADIANS(K15)) * (F15 - X15)
              + SIN(RADIANS(K15)) * (
                Config!$C$15 * (-(D15 - V15) * SIN(RADIANS(L15)) + (E15 - W15) * COS(RADIANS(L15)))
                - Config!$C$16 * ((D15 - V15) * COS(RADIANS(L15)) + (E15 - W15) * SIN(RADIANS(L15)))
              )
              + (1 - COS(RADIANS(K15))) * (
                ((D15 - V15) * COS(RADIANS(L15)) + (E15 - W15) * SIN(RADIANS(L15))) * Config!$C$15
                + (-(D15 - V15) * SIN(RADIANS(L15)) + (E15 - W15) * COS(RADIANS(L15))) * Config!$C$16
                + (F15 - X15) * Config!$C$17
              ) * Config!$C$17
              + X15
            )
          )
        )
      )
    )
  )
)</f>
        <v>120.03000000000002</v>
      </c>
      <c r="Q15" s="47"/>
      <c r="R15" s="95" t="str">
        <f>IF(I15="","",
  IF(OR(
    K15 &lt; IF(Config!$C$4=1,Config!$C$34,
      IF(Config!$C$4=2,Config!$D$34,
        IF(Config!$C$4=3,Config!$E$34,
          IF(Config!$C$4=4,Config!$F$34,
            IF(Config!$C$4=5,Config!$G$34,
              IF(Config!$C$4=6,Config!$H$34,Config!$I$34)
            )
          )
        )
      )
    ),
    K15 &gt; IF(Config!$C$4=1,Config!$C$35,
      IF(Config!$C$4=2,Config!$D$35,
        IF(Config!$C$4=3,Config!$E$35,
          IF(Config!$C$4=4,Config!$F$35,
            IF(Config!$C$4=5,Config!$G$35,
              IF(Config!$C$4=6,Config!$H$35,Config!$I$35)
            )
          )
        )
      )
    )
  ),
    "⚠ OUT OF RANGE",
    "OK"
  )
)</f>
        <v>OK</v>
      </c>
      <c r="S15" s="95" t="str">
        <f>IF(I15="","",
  IF(OR(
    L15 &lt; IF(Config!$C$4=1,Config!$C$36,
      IF(Config!$C$4=2,Config!$D$36,
        IF(Config!$C$4=3,Config!$E$36,
          IF(Config!$C$4=4,Config!$F$36,
            IF(Config!$C$4=5,Config!$G$36,
              IF(Config!$C$4=6,Config!$H$36,Config!$I$36)
            )
          )
        )
      )
    ),
    L15 &gt; IF(Config!$C$4=1,Config!$C$37,
      IF(Config!$C$4=2,Config!$D$37,
        IF(Config!$C$4=3,Config!$E$37,
          IF(Config!$C$4=4,Config!$F$37,
            IF(Config!$C$4=5,Config!$G$37,
              IF(Config!$C$4=6,Config!$H$37,Config!$I$37)
            )
          )
        )
      )
    )
  ),
    "⚠ OUT OF RANGE",
    "OK"
  )
)</f>
        <v>OK</v>
      </c>
      <c r="T15" s="47"/>
      <c r="U15" s="79">
        <f>Config!$C$4</f>
        <v>1</v>
      </c>
      <c r="V15" s="79">
        <f>IF(U15=1, Config!$C$27,
  IF(U15=2, Config!$D$27,
    IF(U15=3, Config!$E$27,
      IF(U15=4, Config!$F$27,
        IF(U15=5, Config!$G$27,
          IF(U15=6, Config!$H$27,
            Config!$I$27
          )
        )
      )
    )
  )
)</f>
        <v>0</v>
      </c>
      <c r="W15" s="79">
        <f>IF(U15=1, Config!$C$28,
  IF(U15=2, Config!$D$28,
    IF(U15=3, Config!$E$28,
      IF(U15=4, Config!$F$28,
        IF(U15=5, Config!$G$28,
          IF(U15=6, Config!$H$28,
            Config!$I$28
          )
        )
      )
    )
  )
)</f>
        <v>0</v>
      </c>
      <c r="X15" s="79">
        <f>IF(U15=1, Config!$C$29,
  IF(U15=2, Config!$D$29,
    IF(U15=3, Config!$E$29,
      IF(U15=4, Config!$F$29,
        IF(U15=5, Config!$G$29,
          IF(U15=6, Config!$H$29,
            Config!$I$29
          )
        )
      )
    )
  )
)</f>
        <v>0</v>
      </c>
      <c r="Y15" s="79">
        <f>IF(U15=1, Config!$C$30,
  IF(U15=2, Config!$D$30,
    IF(U15=3, Config!$E$30,
      IF(U15=4, Config!$F$30,
        IF(U15=5, Config!$G$30,
          IF(U15=6, Config!$H$30,
            Config!$I$30
          )
        )
      )
    )
  )
)</f>
        <v>0</v>
      </c>
      <c r="AA15" s="79">
        <f t="shared" si="0"/>
        <v>90</v>
      </c>
      <c r="AB15" s="79">
        <f t="shared" si="1"/>
        <v>0</v>
      </c>
      <c r="AC15" s="72"/>
      <c r="AD15" s="79">
        <f>IF(I15="","",
  IF(Config!$C$51=1, D15,
    IF(U15&lt;=2,
      (D15 - V15)*COS(RADIANS(AB15)) + (E15 - W15)*SIN(RADIANS(AB15)) + V15,
      IF(U15=3,
        ((D15 - V15)*COS(RADIANS(AB15)) + (E15 - W15)*SIN(RADIANS(AB15)))*COS(RADIANS(AA15))
        + (F15 - X15)*SIN(RADIANS(AA15)) + V15,
        IF(U15=4,
          (D15*COS(RADIANS(AB15)) + E15*SIN(RADIANS(AB15)) + V15) + Y15*SIN(RADIANS(AA15)),
          IF(U15=5,
            D15 + Y15*SIN(RADIANS(AA15))*COS(RADIANS(AB15)),
            IF(U15=6,
              (D15*COS(RADIANS(AB15)) + E15*SIN(RADIANS(AB15)) + V15)
              + Y15*SIN(RADIANS(AA15))*SIN(RADIANS(Config!$H$18)),
              COS(RADIANS(AA15)) * (((D15 - V15)*COS(RADIANS(AB15)) + (E15 - W15)*SIN(RADIANS(AB15))))
              + SIN(RADIANS(AA15)) * (
                Config!$C$16*(F15 - X15)
                - Config!$C$17*(-(D15 - V15)*SIN(RADIANS(AB15)) + (E15 - W15)*COS(RADIANS(AB15)))
              )
              + (1 - COS(RADIANS(AA15))) * (
                ((D15 - V15)*COS(RADIANS(AB15)) + (E15 - W15)*SIN(RADIANS(AB15)))*Config!$C$15
                + (-(D15 - V15)*SIN(RADIANS(AB15)) + (E15 - W15)*COS(RADIANS(AB15)))*Config!$C$16
                + (F15 - X15)*Config!$C$17
              ) * Config!$C$15
              + V15
            )
          )
        )
      )
    )
  )
)</f>
        <v>-86</v>
      </c>
      <c r="AE15" s="79">
        <f>IF(I15="","",
  IF(Config!$C$51=1, E15,
    IF(U15 &lt;= 2,
      (-(D15 - V15) * SIN(RADIANS(AB15)) + (E15 - W15) * COS(RADIANS(AB15))) * COS(RADIANS(AA15))
      + (F15 - X15) * SIN(RADIANS(AA15))
      + W15,
      IF(U15 = 3,
        (-(D15 - V15) * SIN(RADIANS(AB15)) + (E15 - W15) * COS(RADIANS(AB15)))
        + W15,
        IF(U15 = 4,
          -(D15) * SIN(RADIANS(AB15)) + (E15) * COS(RADIANS(AB15))
          + W15,
          IF(U15 = 5,
            E15 + Y15 * SIN(RADIANS(AA15)) * SIN(RADIANS(AB15)),
            IF(U15 = 6,
              (-(D15) * SIN(RADIANS(AB15)) + (E15) * COS(RADIANS(AB15)) + W15)
              + Y15 * (1 - COS(RADIANS(AA15))) * SIN(RADIANS(Config!$H$18)) * COS(RADIANS(Config!$H$18)),
              COS(RADIANS(AA15)) * (-(D15 - V15) * SIN(RADIANS(AB15)) + (E15 - W15) * COS(RADIANS(AB15)))
              + SIN(RADIANS(AA15)) * (
                Config!$C$17 * ((D15 - V15) * COS(RADIANS(AB15)) + (E15 - W15) * SIN(RADIANS(AB15)))
                - Config!$C$15 * (F15 - X15)
              )
              + (1 - COS(RADIANS(AA15))) * (
                ((D15 - V15) * COS(RADIANS(AB15)) + (E15 - W15) * SIN(RADIANS(AB15))) * Config!$C$15
                + (-(D15 - V15) * SIN(RADIANS(AB15)) + (E15 - W15) * COS(RADIANS(AB15))) * Config!$C$16
                + (F15 - X15) * Config!$C$17
              ) * Config!$C$16
              + W15
            )
          )
        )
      )
    )
  )
)</f>
        <v>22.340099999999993</v>
      </c>
      <c r="AF15" s="79">
        <f>IF(I15="","",
  IF(Config!$C$51=1, F15,
    IF(U15 &lt;= 2,
      -((-(D15 - V15) * SIN(RADIANS(AB15)) + (E15 - W15) * COS(RADIANS(AB15)))) * SIN(RADIANS(AA15))
      + (F15 - X15) * COS(RADIANS(AA15))
      + X15,
      IF(U15 = 3,
        -(((D15 - V15) * COS(RADIANS(AB15)) + (E15 - W15) * SIN(RADIANS(AB15)))) * SIN(RADIANS(AA15))
        + (F15 - X15) * COS(RADIANS(AA15))
        + X15,
        IF(U15 = 4,
          (F15 + X15) - Y15 * (1 - COS(RADIANS(AA15))),
          IF(U15 = 5,
            F15 - Y15 * (1 - COS(RADIANS(AA15))),
            IF(U15 = 6,
              (F15 + X15) - Y15 * SIN(RADIANS(Config!$H$18)) * SIN(RADIANS(Config!$H$18)) * (1 - COS(RADIANS(AA15))),
              COS(RADIANS(AA15)) * (F15 - X15)
              + SIN(RADIANS(AA15)) * (
                Config!$C$15 * (-(D15 - V15) * SIN(RADIANS(AB15)) + (E15 - W15) * COS(RADIANS(AB15)))
                - Config!$C$16 * ((D15 - V15) * COS(RADIANS(AB15)) + (E15 - W15) * SIN(RADIANS(AB15)))
              )
              + (1 - COS(RADIANS(AA15))) * (
                ((D15 - V15) * COS(RADIANS(AB15)) + (E15 - W15) * SIN(RADIANS(AB15))) * Config!$C$15
                + (-(D15 - V15) * SIN(RADIANS(AB15)) + (E15 - W15) * COS(RADIANS(AB15))) * Config!$C$16
                + (F15 - X15) * Config!$C$17
              ) * Config!$C$17
              + X15
            )
          )
        )
      )
    )
  )
)</f>
        <v>120.03</v>
      </c>
      <c r="AG15" s="72"/>
      <c r="AH15" s="96" t="str">
        <f>IF(I15="","",
  IF(OR(AA15="N/A", AA15=""),
    "N/A",
    IF(OR(
      AA15 &lt; IF(Config!$C$4=1,Config!$C$34,
        IF(Config!$C$4=2,Config!$D$34,
          IF(Config!$C$4=3,Config!$E$34,
            IF(Config!$C$4=4,Config!$F$34,
              IF(Config!$C$4=5,Config!$G$34,
                IF(Config!$C$4=6,Config!$H$34,Config!$I$34)
              )
            )
          )
        )
      ),
      AA15 &gt; IF(Config!$C$4=1,Config!$C$35,
        IF(Config!$C$4=2,Config!$D$35,
          IF(Config!$C$4=3,Config!$E$35,
            IF(Config!$C$4=4,Config!$F$35,
              IF(Config!$C$4=5,Config!$G$35,
                IF(Config!$C$4=6,Config!$H$35,Config!$I$35)
              )
            )
          )
        )
      )
    ),
    "⚠ OUT OF RANGE",
    "OK"
    )
  )
)</f>
        <v>⚠ OUT OF RANGE</v>
      </c>
      <c r="AI15" s="96" t="str">
        <f>IF(I15="","",
  IF(OR(AB15="N/A", AB15=""),
    "N/A",
    IF(OR(
      AB15 &lt; IF(Config!$C$4=1,Config!$C$36,
        IF(Config!$C$4=2,Config!$D$36,
          IF(Config!$C$4=3,Config!$E$36,
            IF(Config!$C$4=4,Config!$F$36,
              IF(Config!$C$4=5,Config!$G$36,
                IF(Config!$C$4=6,Config!$H$36,Config!$I$36)
              )
            )
          )
        )
      ),
      AB15 &gt; IF(Config!$C$4=1,Config!$C$37,
        IF(Config!$C$4=2,Config!$D$37,
          IF(Config!$C$4=3,Config!$E$37,
            IF(Config!$C$4=4,Config!$F$37,
              IF(Config!$C$4=5,Config!$G$37,
                IF(Config!$C$4=6,Config!$H$37,Config!$I$37)
              )
            )
          )
        )
      )
    ),
    "⚠ OUT OF RANGE",
    "OK"
    )
  )
)</f>
        <v>OK</v>
      </c>
    </row>
    <row r="16" spans="1:35" ht="18" customHeight="1" x14ac:dyDescent="0.25">
      <c r="A16" s="43"/>
      <c r="B16" s="47">
        <v>12</v>
      </c>
      <c r="C16" s="71" t="s">
        <v>299</v>
      </c>
      <c r="D16" s="64">
        <v>120.03</v>
      </c>
      <c r="E16" s="64">
        <v>-86</v>
      </c>
      <c r="F16" s="64">
        <v>22.3401</v>
      </c>
      <c r="G16" s="64">
        <v>1</v>
      </c>
      <c r="H16" s="64">
        <v>0</v>
      </c>
      <c r="I16" s="64">
        <v>0</v>
      </c>
      <c r="J16" s="47"/>
      <c r="K16" s="79">
        <f>IF(
    I16="",
    "",
    IF(
        Config!$C$4&lt;=2,
        IF(
            AND(G16=0,H16=0),
            0,
            IF(
                H16&gt;=0,
                DEGREES(ACOS(I16)),
                -DEGREES(ACOS(I16))
            )
        ),
        IF(
            Config!$C$4=3,
            IF(
                AND(G16=0,H16=0),
                0,
                IF(
                    G16&gt;=0,
                    DEGREES(ACOS(I16)),
                    -DEGREES(ACOS(I16))
                )
            ),
            IF(
                Config!$C$4=4,
                IF(
                    AND(G16=0,H16=0),
                    0,
                    DEGREES(ATAN2(I16,G16))
                ),
                IF(
                    Config!$C$4=5,
                    IF(
                        AND(G16=0,H16=0),
                        0,
                        DEGREES(ACOS(I16))
                    ),
                    IF(
                        Config!$C$4=6,
                        IF(
                            AND(G16=0,H16=0),
                            0,
                            IF(
                                G16&gt;=0,
                                DEGREES(ACOS(2*I16-1)),
                                -DEGREES(ACOS(2*I16-1))
                            )
                        ),
                        IF(
                            AND(G16=0,H16=0),
                            0,
                            IF(
                                ((G16*Config!$C$16-H16*Config!$C$15))&lt;=0,
                                DEGREES(
                                    ACOS(
                                        MAX(
                                            -1,
                                            MIN(
                                                1,
                                                (I16-Config!$C$20)/Config!$C$21
                                            )
                                        )
                                    )
                                ),
                                -DEGREES(
                                    ACOS(
                                        MAX(
                                            -1,
                                            MIN(
                                                1,
                                                (I16-Config!$C$20)/Config!$C$21
                                            )
                                        )
                                    )
                                )
                            )
                        )
                    )
                )
            )
        )
    )
)</f>
        <v>90</v>
      </c>
      <c r="L16" s="79">
        <f>IF(
    I16="",
    "",
    IF(
        Config!$C$4&lt;=2,
        IF(
            AND(G16=0,H16=0),
            0,
            DEGREES(ATAN2(H16,G16))
        ),
        IF(
            Config!$C$4=3,
            IF(
                AND(G16=0,H16=0),
                0,
                DEGREES(ATAN2(G16,-H16))
            ),
            IF(
                Config!$C$4=4,
                0,
                IF(
                    Config!$C$4=5,
                    IF(
                        AND(G16=0,H16=0),
                        0,
                        DEGREES(ATAN2(H16,G16))
                    ),
                    IF(
                        Config!$C$4=6,
                        IF(
                            AND(G16=0,H16=0),
                            0,
                            DEGREES(ATAN2(H16,G16))
                        ),
                        0
                    )
                )
            )
        )
    )
)</f>
        <v>90</v>
      </c>
      <c r="M16" s="47"/>
      <c r="N16" s="79">
        <f>IF(I16="","",
  IF(Config!$C$51=1, D16,
    IF(U16&lt;=2,
      (D16 - V16)*COS(RADIANS(L16)) + (E16 - W16)*SIN(RADIANS(L16)) + V16,
      IF(U16=3,
        ((D16 - V16)*COS(RADIANS(L16)) + (E16 - W16)*SIN(RADIANS(L16)))*COS(RADIANS(K16))
        + (F16 - X16)*SIN(RADIANS(K16)) + V16,
        IF(U16=4,
          (D16*COS(RADIANS(L16)) + E16*SIN(RADIANS(L16)) + V16) + Y16*SIN(RADIANS(K16)),
          IF(U16=5,
            D16 + Y16*SIN(RADIANS(K16))*COS(RADIANS(L16)),
            IF(U16=6,
              (D16*COS(RADIANS(L16)) + E16*SIN(RADIANS(L16)) + V16)
              + Y16*SIN(RADIANS(K16))*SIN(RADIANS(Config!$H$18)),
              COS(RADIANS(K16)) * (((D16 - V16)*COS(RADIANS(L16)) + (E16 - W16)*SIN(RADIANS(L16))))
              + SIN(RADIANS(K16)) * (
                Config!$C$16*(F16 - X16)
                - Config!$C$17*(-(D16 - V16)*SIN(RADIANS(L16)) + (E16 - W16)*COS(RADIANS(L16)))
              )
              + (1 - COS(RADIANS(K16))) * (
                ((D16 - V16)*COS(RADIANS(L16)) + (E16 - W16)*SIN(RADIANS(L16)))*Config!$C$15
                + (-(D16 - V16)*SIN(RADIANS(L16)) + (E16 - W16)*COS(RADIANS(L16)))*Config!$C$16
                + (F16 - X16)*Config!$C$17
              ) * Config!$C$15
              + V16
            )
          )
        )
      )
    )
  )
)</f>
        <v>-85.999999999999986</v>
      </c>
      <c r="O16" s="79">
        <f>IF(I16="","",
  IF(Config!$C$51=1, E16,
    IF(U16 &lt;= 2,
      (-(D16 - V16) * SIN(RADIANS(L16)) + (E16 - W16) * COS(RADIANS(L16))) * COS(RADIANS(K16))
      + (F16 - X16) * SIN(RADIANS(K16))
      + W16,
      IF(U16 = 3,
        (-(D16 - V16) * SIN(RADIANS(L16)) + (E16 - W16) * COS(RADIANS(L16)))
        + W16,
        IF(U16 = 4,
          -(D16) * SIN(RADIANS(L16)) + (E16) * COS(RADIANS(L16))
          + W16,
          IF(U16 = 5,
            E16 + Y16 * SIN(RADIANS(K16)) * SIN(RADIANS(L16)),
            IF(U16 = 6,
              (-(D16) * SIN(RADIANS(L16)) + (E16) * COS(RADIANS(L16)) + W16)
              + Y16 * (1 - COS(RADIANS(K16))) * SIN(RADIANS(Config!$H$18)) * COS(RADIANS(Config!$H$18)),
              COS(RADIANS(K16)) * (-(D16 - V16) * SIN(RADIANS(L16)) + (E16 - W16) * COS(RADIANS(L16)))
              + SIN(RADIANS(K16)) * (
                Config!$C$17 * ((D16 - V16) * COS(RADIANS(L16)) + (E16 - W16) * SIN(RADIANS(L16)))
                - Config!$C$15 * (F16 - X16)
              )
              + (1 - COS(RADIANS(K16))) * (
                ((D16 - V16) * COS(RADIANS(L16)) + (E16 - W16) * SIN(RADIANS(L16))) * Config!$C$15
                + (-(D16 - V16) * SIN(RADIANS(L16)) + (E16 - W16) * COS(RADIANS(L16))) * Config!$C$16
                + (F16 - X16) * Config!$C$17
              ) * Config!$C$16
              + W16
            )
          )
        )
      )
    )
  )
)</f>
        <v>22.340099999999993</v>
      </c>
      <c r="P16" s="79">
        <f>IF(I16="","",
  IF(Config!$C$51=1, F16,
    IF(U16 &lt;= 2,
      -((-(D16 - V16) * SIN(RADIANS(L16)) + (E16 - W16) * COS(RADIANS(L16)))) * SIN(RADIANS(K16))
      + (F16 - X16) * COS(RADIANS(K16))
      + X16,
      IF(U16 = 3,
        -(((D16 - V16) * COS(RADIANS(L16)) + (E16 - W16) * SIN(RADIANS(L16)))) * SIN(RADIANS(K16))
        + (F16 - X16) * COS(RADIANS(K16))
        + X16,
        IF(U16 = 4,
          (F16 + X16) - Y16 * (1 - COS(RADIANS(K16))),
          IF(U16 = 5,
            F16 - Y16 * (1 - COS(RADIANS(K16))),
            IF(U16 = 6,
              (F16 + X16) - Y16 * SIN(RADIANS(Config!$H$18)) * SIN(RADIANS(Config!$H$18)) * (1 - COS(RADIANS(K16))),
              COS(RADIANS(K16)) * (F16 - X16)
              + SIN(RADIANS(K16)) * (
                Config!$C$15 * (-(D16 - V16) * SIN(RADIANS(L16)) + (E16 - W16) * COS(RADIANS(L16)))
                - Config!$C$16 * ((D16 - V16) * COS(RADIANS(L16)) + (E16 - W16) * SIN(RADIANS(L16)))
              )
              + (1 - COS(RADIANS(K16))) * (
                ((D16 - V16) * COS(RADIANS(L16)) + (E16 - W16) * SIN(RADIANS(L16))) * Config!$C$15
                + (-(D16 - V16) * SIN(RADIANS(L16)) + (E16 - W16) * COS(RADIANS(L16))) * Config!$C$16
                + (F16 - X16) * Config!$C$17
              ) * Config!$C$17
              + X16
            )
          )
        )
      )
    )
  )
)</f>
        <v>120.03</v>
      </c>
      <c r="Q16" s="47"/>
      <c r="R16" s="95" t="str">
        <f>IF(I16="","",
  IF(OR(
    K16 &lt; IF(Config!$C$4=1,Config!$C$34,
      IF(Config!$C$4=2,Config!$D$34,
        IF(Config!$C$4=3,Config!$E$34,
          IF(Config!$C$4=4,Config!$F$34,
            IF(Config!$C$4=5,Config!$G$34,
              IF(Config!$C$4=6,Config!$H$34,Config!$I$34)
            )
          )
        )
      )
    ),
    K16 &gt; IF(Config!$C$4=1,Config!$C$35,
      IF(Config!$C$4=2,Config!$D$35,
        IF(Config!$C$4=3,Config!$E$35,
          IF(Config!$C$4=4,Config!$F$35,
            IF(Config!$C$4=5,Config!$G$35,
              IF(Config!$C$4=6,Config!$H$35,Config!$I$35)
            )
          )
        )
      )
    )
  ),
    "⚠ OUT OF RANGE",
    "OK"
  )
)</f>
        <v>⚠ OUT OF RANGE</v>
      </c>
      <c r="S16" s="95" t="str">
        <f>IF(I16="","",
  IF(OR(
    L16 &lt; IF(Config!$C$4=1,Config!$C$36,
      IF(Config!$C$4=2,Config!$D$36,
        IF(Config!$C$4=3,Config!$E$36,
          IF(Config!$C$4=4,Config!$F$36,
            IF(Config!$C$4=5,Config!$G$36,
              IF(Config!$C$4=6,Config!$H$36,Config!$I$36)
            )
          )
        )
      )
    ),
    L16 &gt; IF(Config!$C$4=1,Config!$C$37,
      IF(Config!$C$4=2,Config!$D$37,
        IF(Config!$C$4=3,Config!$E$37,
          IF(Config!$C$4=4,Config!$F$37,
            IF(Config!$C$4=5,Config!$G$37,
              IF(Config!$C$4=6,Config!$H$37,Config!$I$37)
            )
          )
        )
      )
    )
  ),
    "⚠ OUT OF RANGE",
    "OK"
  )
)</f>
        <v>OK</v>
      </c>
      <c r="T16" s="47"/>
      <c r="U16" s="79">
        <f>Config!$C$4</f>
        <v>1</v>
      </c>
      <c r="V16" s="79">
        <f>IF(U16=1, Config!$C$27,
  IF(U16=2, Config!$D$27,
    IF(U16=3, Config!$E$27,
      IF(U16=4, Config!$F$27,
        IF(U16=5, Config!$G$27,
          IF(U16=6, Config!$H$27,
            Config!$I$27
          )
        )
      )
    )
  )
)</f>
        <v>0</v>
      </c>
      <c r="W16" s="79">
        <f>IF(U16=1, Config!$C$28,
  IF(U16=2, Config!$D$28,
    IF(U16=3, Config!$E$28,
      IF(U16=4, Config!$F$28,
        IF(U16=5, Config!$G$28,
          IF(U16=6, Config!$H$28,
            Config!$I$28
          )
        )
      )
    )
  )
)</f>
        <v>0</v>
      </c>
      <c r="X16" s="79">
        <f>IF(U16=1, Config!$C$29,
  IF(U16=2, Config!$D$29,
    IF(U16=3, Config!$E$29,
      IF(U16=4, Config!$F$29,
        IF(U16=5, Config!$G$29,
          IF(U16=6, Config!$H$29,
            Config!$I$29
          )
        )
      )
    )
  )
)</f>
        <v>0</v>
      </c>
      <c r="Y16" s="79">
        <f>IF(U16=1, Config!$C$30,
  IF(U16=2, Config!$D$30,
    IF(U16=3, Config!$E$30,
      IF(U16=4, Config!$F$30,
        IF(U16=5, Config!$G$30,
          IF(U16=6, Config!$H$30,
            Config!$I$30
          )
        )
      )
    )
  )
)</f>
        <v>0</v>
      </c>
      <c r="AA16" s="79">
        <f t="shared" si="0"/>
        <v>-90</v>
      </c>
      <c r="AB16" s="79">
        <f t="shared" si="1"/>
        <v>-90</v>
      </c>
      <c r="AC16" s="72"/>
      <c r="AD16" s="79">
        <f>IF(I16="","",
  IF(Config!$C$51=1, D16,
    IF(U16&lt;=2,
      (D16 - V16)*COS(RADIANS(AB16)) + (E16 - W16)*SIN(RADIANS(AB16)) + V16,
      IF(U16=3,
        ((D16 - V16)*COS(RADIANS(AB16)) + (E16 - W16)*SIN(RADIANS(AB16)))*COS(RADIANS(AA16))
        + (F16 - X16)*SIN(RADIANS(AA16)) + V16,
        IF(U16=4,
          (D16*COS(RADIANS(AB16)) + E16*SIN(RADIANS(AB16)) + V16) + Y16*SIN(RADIANS(AA16)),
          IF(U16=5,
            D16 + Y16*SIN(RADIANS(AA16))*COS(RADIANS(AB16)),
            IF(U16=6,
              (D16*COS(RADIANS(AB16)) + E16*SIN(RADIANS(AB16)) + V16)
              + Y16*SIN(RADIANS(AA16))*SIN(RADIANS(Config!$H$18)),
              COS(RADIANS(AA16)) * (((D16 - V16)*COS(RADIANS(AB16)) + (E16 - W16)*SIN(RADIANS(AB16))))
              + SIN(RADIANS(AA16)) * (
                Config!$C$16*(F16 - X16)
                - Config!$C$17*(-(D16 - V16)*SIN(RADIANS(AB16)) + (E16 - W16)*COS(RADIANS(AB16)))
              )
              + (1 - COS(RADIANS(AA16))) * (
                ((D16 - V16)*COS(RADIANS(AB16)) + (E16 - W16)*SIN(RADIANS(AB16)))*Config!$C$15
                + (-(D16 - V16)*SIN(RADIANS(AB16)) + (E16 - W16)*COS(RADIANS(AB16)))*Config!$C$16
                + (F16 - X16)*Config!$C$17
              ) * Config!$C$15
              + V16
            )
          )
        )
      )
    )
  )
)</f>
        <v>86.000000000000014</v>
      </c>
      <c r="AE16" s="79">
        <f>IF(I16="","",
  IF(Config!$C$51=1, E16,
    IF(U16 &lt;= 2,
      (-(D16 - V16) * SIN(RADIANS(AB16)) + (E16 - W16) * COS(RADIANS(AB16))) * COS(RADIANS(AA16))
      + (F16 - X16) * SIN(RADIANS(AA16))
      + W16,
      IF(U16 = 3,
        (-(D16 - V16) * SIN(RADIANS(AB16)) + (E16 - W16) * COS(RADIANS(AB16)))
        + W16,
        IF(U16 = 4,
          -(D16) * SIN(RADIANS(AB16)) + (E16) * COS(RADIANS(AB16))
          + W16,
          IF(U16 = 5,
            E16 + Y16 * SIN(RADIANS(AA16)) * SIN(RADIANS(AB16)),
            IF(U16 = 6,
              (-(D16) * SIN(RADIANS(AB16)) + (E16) * COS(RADIANS(AB16)) + W16)
              + Y16 * (1 - COS(RADIANS(AA16))) * SIN(RADIANS(Config!$H$18)) * COS(RADIANS(Config!$H$18)),
              COS(RADIANS(AA16)) * (-(D16 - V16) * SIN(RADIANS(AB16)) + (E16 - W16) * COS(RADIANS(AB16)))
              + SIN(RADIANS(AA16)) * (
                Config!$C$17 * ((D16 - V16) * COS(RADIANS(AB16)) + (E16 - W16) * SIN(RADIANS(AB16)))
                - Config!$C$15 * (F16 - X16)
              )
              + (1 - COS(RADIANS(AA16))) * (
                ((D16 - V16) * COS(RADIANS(AB16)) + (E16 - W16) * SIN(RADIANS(AB16))) * Config!$C$15
                + (-(D16 - V16) * SIN(RADIANS(AB16)) + (E16 - W16) * COS(RADIANS(AB16))) * Config!$C$16
                + (F16 - X16) * Config!$C$17
              ) * Config!$C$16
              + W16
            )
          )
        )
      )
    )
  )
)</f>
        <v>-22.340099999999993</v>
      </c>
      <c r="AF16" s="79">
        <f>IF(I16="","",
  IF(Config!$C$51=1, F16,
    IF(U16 &lt;= 2,
      -((-(D16 - V16) * SIN(RADIANS(AB16)) + (E16 - W16) * COS(RADIANS(AB16)))) * SIN(RADIANS(AA16))
      + (F16 - X16) * COS(RADIANS(AA16))
      + X16,
      IF(U16 = 3,
        -(((D16 - V16) * COS(RADIANS(AB16)) + (E16 - W16) * SIN(RADIANS(AB16)))) * SIN(RADIANS(AA16))
        + (F16 - X16) * COS(RADIANS(AA16))
        + X16,
        IF(U16 = 4,
          (F16 + X16) - Y16 * (1 - COS(RADIANS(AA16))),
          IF(U16 = 5,
            F16 - Y16 * (1 - COS(RADIANS(AA16))),
            IF(U16 = 6,
              (F16 + X16) - Y16 * SIN(RADIANS(Config!$H$18)) * SIN(RADIANS(Config!$H$18)) * (1 - COS(RADIANS(AA16))),
              COS(RADIANS(AA16)) * (F16 - X16)
              + SIN(RADIANS(AA16)) * (
                Config!$C$15 * (-(D16 - V16) * SIN(RADIANS(AB16)) + (E16 - W16) * COS(RADIANS(AB16)))
                - Config!$C$16 * ((D16 - V16) * COS(RADIANS(AB16)) + (E16 - W16) * SIN(RADIANS(AB16)))
              )
              + (1 - COS(RADIANS(AA16))) * (
                ((D16 - V16) * COS(RADIANS(AB16)) + (E16 - W16) * SIN(RADIANS(AB16))) * Config!$C$15
                + (-(D16 - V16) * SIN(RADIANS(AB16)) + (E16 - W16) * COS(RADIANS(AB16))) * Config!$C$16
                + (F16 - X16) * Config!$C$17
              ) * Config!$C$17
              + X16
            )
          )
        )
      )
    )
  )
)</f>
        <v>120.03</v>
      </c>
      <c r="AG16" s="72"/>
      <c r="AH16" s="96" t="str">
        <f>IF(I16="","",
  IF(OR(AA16="N/A", AA16=""),
    "N/A",
    IF(OR(
      AA16 &lt; IF(Config!$C$4=1,Config!$C$34,
        IF(Config!$C$4=2,Config!$D$34,
          IF(Config!$C$4=3,Config!$E$34,
            IF(Config!$C$4=4,Config!$F$34,
              IF(Config!$C$4=5,Config!$G$34,
                IF(Config!$C$4=6,Config!$H$34,Config!$I$34)
              )
            )
          )
        )
      ),
      AA16 &gt; IF(Config!$C$4=1,Config!$C$35,
        IF(Config!$C$4=2,Config!$D$35,
          IF(Config!$C$4=3,Config!$E$35,
            IF(Config!$C$4=4,Config!$F$35,
              IF(Config!$C$4=5,Config!$G$35,
                IF(Config!$C$4=6,Config!$H$35,Config!$I$35)
              )
            )
          )
        )
      )
    ),
    "⚠ OUT OF RANGE",
    "OK"
    )
  )
)</f>
        <v>OK</v>
      </c>
      <c r="AI16" s="96" t="str">
        <f>IF(I16="","",
  IF(OR(AB16="N/A", AB16=""),
    "N/A",
    IF(OR(
      AB16 &lt; IF(Config!$C$4=1,Config!$C$36,
        IF(Config!$C$4=2,Config!$D$36,
          IF(Config!$C$4=3,Config!$E$36,
            IF(Config!$C$4=4,Config!$F$36,
              IF(Config!$C$4=5,Config!$G$36,
                IF(Config!$C$4=6,Config!$H$36,Config!$I$36)
              )
            )
          )
        )
      ),
      AB16 &gt; IF(Config!$C$4=1,Config!$C$37,
        IF(Config!$C$4=2,Config!$D$37,
          IF(Config!$C$4=3,Config!$E$37,
            IF(Config!$C$4=4,Config!$F$37,
              IF(Config!$C$4=5,Config!$G$37,
                IF(Config!$C$4=6,Config!$H$37,Config!$I$37)
              )
            )
          )
        )
      )
    ),
    "⚠ OUT OF RANGE",
    "OK"
    )
  )
)</f>
        <v>OK</v>
      </c>
    </row>
    <row r="17" spans="1:35" ht="18" customHeight="1" x14ac:dyDescent="0.25">
      <c r="A17" s="43"/>
      <c r="B17" s="47">
        <v>13</v>
      </c>
      <c r="C17" s="71" t="s">
        <v>300</v>
      </c>
      <c r="D17" s="64">
        <v>86</v>
      </c>
      <c r="E17" s="64">
        <v>120.03</v>
      </c>
      <c r="F17" s="64">
        <v>22.3401</v>
      </c>
      <c r="G17" s="64">
        <v>0</v>
      </c>
      <c r="H17" s="64">
        <v>1</v>
      </c>
      <c r="I17" s="64">
        <v>0</v>
      </c>
      <c r="J17" s="47"/>
      <c r="K17" s="79">
        <f>IF(
    I17="",
    "",
    IF(
        Config!$C$4&lt;=2,
        IF(
            AND(G17=0,H17=0),
            0,
            IF(
                H17&gt;=0,
                DEGREES(ACOS(I17)),
                -DEGREES(ACOS(I17))
            )
        ),
        IF(
            Config!$C$4=3,
            IF(
                AND(G17=0,H17=0),
                0,
                IF(
                    G17&gt;=0,
                    DEGREES(ACOS(I17)),
                    -DEGREES(ACOS(I17))
                )
            ),
            IF(
                Config!$C$4=4,
                IF(
                    AND(G17=0,H17=0),
                    0,
                    DEGREES(ATAN2(I17,G17))
                ),
                IF(
                    Config!$C$4=5,
                    IF(
                        AND(G17=0,H17=0),
                        0,
                        DEGREES(ACOS(I17))
                    ),
                    IF(
                        Config!$C$4=6,
                        IF(
                            AND(G17=0,H17=0),
                            0,
                            IF(
                                G17&gt;=0,
                                DEGREES(ACOS(2*I17-1)),
                                -DEGREES(ACOS(2*I17-1))
                            )
                        ),
                        IF(
                            AND(G17=0,H17=0),
                            0,
                            IF(
                                ((G17*Config!$C$16-H17*Config!$C$15))&lt;=0,
                                DEGREES(
                                    ACOS(
                                        MAX(
                                            -1,
                                            MIN(
                                                1,
                                                (I17-Config!$C$20)/Config!$C$21
                                            )
                                        )
                                    )
                                ),
                                -DEGREES(
                                    ACOS(
                                        MAX(
                                            -1,
                                            MIN(
                                                1,
                                                (I17-Config!$C$20)/Config!$C$21
                                            )
                                        )
                                    )
                                )
                            )
                        )
                    )
                )
            )
        )
    )
)</f>
        <v>90</v>
      </c>
      <c r="L17" s="79">
        <f>IF(
    I17="",
    "",
    IF(
        Config!$C$4&lt;=2,
        IF(
            AND(G17=0,H17=0),
            0,
            DEGREES(ATAN2(H17,G17))
        ),
        IF(
            Config!$C$4=3,
            IF(
                AND(G17=0,H17=0),
                0,
                DEGREES(ATAN2(G17,-H17))
            ),
            IF(
                Config!$C$4=4,
                0,
                IF(
                    Config!$C$4=5,
                    IF(
                        AND(G17=0,H17=0),
                        0,
                        DEGREES(ATAN2(H17,G17))
                    ),
                    IF(
                        Config!$C$4=6,
                        IF(
                            AND(G17=0,H17=0),
                            0,
                            DEGREES(ATAN2(H17,G17))
                        ),
                        0
                    )
                )
            )
        )
    )
)</f>
        <v>0</v>
      </c>
      <c r="M17" s="47"/>
      <c r="N17" s="79">
        <f>IF(I17="","",
  IF(Config!$C$51=1, D17,
    IF(U17&lt;=2,
      (D17 - V17)*COS(RADIANS(L17)) + (E17 - W17)*SIN(RADIANS(L17)) + V17,
      IF(U17=3,
        ((D17 - V17)*COS(RADIANS(L17)) + (E17 - W17)*SIN(RADIANS(L17)))*COS(RADIANS(K17))
        + (F17 - X17)*SIN(RADIANS(K17)) + V17,
        IF(U17=4,
          (D17*COS(RADIANS(L17)) + E17*SIN(RADIANS(L17)) + V17) + Y17*SIN(RADIANS(K17)),
          IF(U17=5,
            D17 + Y17*SIN(RADIANS(K17))*COS(RADIANS(L17)),
            IF(U17=6,
              (D17*COS(RADIANS(L17)) + E17*SIN(RADIANS(L17)) + V17)
              + Y17*SIN(RADIANS(K17))*SIN(RADIANS(Config!$H$18)),
              COS(RADIANS(K17)) * (((D17 - V17)*COS(RADIANS(L17)) + (E17 - W17)*SIN(RADIANS(L17))))
              + SIN(RADIANS(K17)) * (
                Config!$C$16*(F17 - X17)
                - Config!$C$17*(-(D17 - V17)*SIN(RADIANS(L17)) + (E17 - W17)*COS(RADIANS(L17)))
              )
              + (1 - COS(RADIANS(K17))) * (
                ((D17 - V17)*COS(RADIANS(L17)) + (E17 - W17)*SIN(RADIANS(L17)))*Config!$C$15
                + (-(D17 - V17)*SIN(RADIANS(L17)) + (E17 - W17)*COS(RADIANS(L17)))*Config!$C$16
                + (F17 - X17)*Config!$C$17
              ) * Config!$C$15
              + V17
            )
          )
        )
      )
    )
  )
)</f>
        <v>86</v>
      </c>
      <c r="O17" s="79">
        <f>IF(I17="","",
  IF(Config!$C$51=1, E17,
    IF(U17 &lt;= 2,
      (-(D17 - V17) * SIN(RADIANS(L17)) + (E17 - W17) * COS(RADIANS(L17))) * COS(RADIANS(K17))
      + (F17 - X17) * SIN(RADIANS(K17))
      + W17,
      IF(U17 = 3,
        (-(D17 - V17) * SIN(RADIANS(L17)) + (E17 - W17) * COS(RADIANS(L17)))
        + W17,
        IF(U17 = 4,
          -(D17) * SIN(RADIANS(L17)) + (E17) * COS(RADIANS(L17))
          + W17,
          IF(U17 = 5,
            E17 + Y17 * SIN(RADIANS(K17)) * SIN(RADIANS(L17)),
            IF(U17 = 6,
              (-(D17) * SIN(RADIANS(L17)) + (E17) * COS(RADIANS(L17)) + W17)
              + Y17 * (1 - COS(RADIANS(K17))) * SIN(RADIANS(Config!$H$18)) * COS(RADIANS(Config!$H$18)),
              COS(RADIANS(K17)) * (-(D17 - V17) * SIN(RADIANS(L17)) + (E17 - W17) * COS(RADIANS(L17)))
              + SIN(RADIANS(K17)) * (
                Config!$C$17 * ((D17 - V17) * COS(RADIANS(L17)) + (E17 - W17) * SIN(RADIANS(L17)))
                - Config!$C$15 * (F17 - X17)
              )
              + (1 - COS(RADIANS(K17))) * (
                ((D17 - V17) * COS(RADIANS(L17)) + (E17 - W17) * SIN(RADIANS(L17))) * Config!$C$15
                + (-(D17 - V17) * SIN(RADIANS(L17)) + (E17 - W17) * COS(RADIANS(L17))) * Config!$C$16
                + (F17 - X17) * Config!$C$17
              ) * Config!$C$16
              + W17
            )
          )
        )
      )
    )
  )
)</f>
        <v>22.340100000000007</v>
      </c>
      <c r="P17" s="79">
        <f>IF(I17="","",
  IF(Config!$C$51=1, F17,
    IF(U17 &lt;= 2,
      -((-(D17 - V17) * SIN(RADIANS(L17)) + (E17 - W17) * COS(RADIANS(L17)))) * SIN(RADIANS(K17))
      + (F17 - X17) * COS(RADIANS(K17))
      + X17,
      IF(U17 = 3,
        -(((D17 - V17) * COS(RADIANS(L17)) + (E17 - W17) * SIN(RADIANS(L17)))) * SIN(RADIANS(K17))
        + (F17 - X17) * COS(RADIANS(K17))
        + X17,
        IF(U17 = 4,
          (F17 + X17) - Y17 * (1 - COS(RADIANS(K17))),
          IF(U17 = 5,
            F17 - Y17 * (1 - COS(RADIANS(K17))),
            IF(U17 = 6,
              (F17 + X17) - Y17 * SIN(RADIANS(Config!$H$18)) * SIN(RADIANS(Config!$H$18)) * (1 - COS(RADIANS(K17))),
              COS(RADIANS(K17)) * (F17 - X17)
              + SIN(RADIANS(K17)) * (
                Config!$C$15 * (-(D17 - V17) * SIN(RADIANS(L17)) + (E17 - W17) * COS(RADIANS(L17)))
                - Config!$C$16 * ((D17 - V17) * COS(RADIANS(L17)) + (E17 - W17) * SIN(RADIANS(L17)))
              )
              + (1 - COS(RADIANS(K17))) * (
                ((D17 - V17) * COS(RADIANS(L17)) + (E17 - W17) * SIN(RADIANS(L17))) * Config!$C$15
                + (-(D17 - V17) * SIN(RADIANS(L17)) + (E17 - W17) * COS(RADIANS(L17))) * Config!$C$16
                + (F17 - X17) * Config!$C$17
              ) * Config!$C$17
              + X17
            )
          )
        )
      )
    )
  )
)</f>
        <v>-120.03</v>
      </c>
      <c r="Q17" s="47"/>
      <c r="R17" s="95" t="str">
        <f>IF(I17="","",
  IF(OR(
    K17 &lt; IF(Config!$C$4=1,Config!$C$34,
      IF(Config!$C$4=2,Config!$D$34,
        IF(Config!$C$4=3,Config!$E$34,
          IF(Config!$C$4=4,Config!$F$34,
            IF(Config!$C$4=5,Config!$G$34,
              IF(Config!$C$4=6,Config!$H$34,Config!$I$34)
            )
          )
        )
      )
    ),
    K17 &gt; IF(Config!$C$4=1,Config!$C$35,
      IF(Config!$C$4=2,Config!$D$35,
        IF(Config!$C$4=3,Config!$E$35,
          IF(Config!$C$4=4,Config!$F$35,
            IF(Config!$C$4=5,Config!$G$35,
              IF(Config!$C$4=6,Config!$H$35,Config!$I$35)
            )
          )
        )
      )
    )
  ),
    "⚠ OUT OF RANGE",
    "OK"
  )
)</f>
        <v>⚠ OUT OF RANGE</v>
      </c>
      <c r="S17" s="95" t="str">
        <f>IF(I17="","",
  IF(OR(
    L17 &lt; IF(Config!$C$4=1,Config!$C$36,
      IF(Config!$C$4=2,Config!$D$36,
        IF(Config!$C$4=3,Config!$E$36,
          IF(Config!$C$4=4,Config!$F$36,
            IF(Config!$C$4=5,Config!$G$36,
              IF(Config!$C$4=6,Config!$H$36,Config!$I$36)
            )
          )
        )
      )
    ),
    L17 &gt; IF(Config!$C$4=1,Config!$C$37,
      IF(Config!$C$4=2,Config!$D$37,
        IF(Config!$C$4=3,Config!$E$37,
          IF(Config!$C$4=4,Config!$F$37,
            IF(Config!$C$4=5,Config!$G$37,
              IF(Config!$C$4=6,Config!$H$37,Config!$I$37)
            )
          )
        )
      )
    )
  ),
    "⚠ OUT OF RANGE",
    "OK"
  )
)</f>
        <v>OK</v>
      </c>
      <c r="T17" s="47"/>
      <c r="U17" s="79">
        <f>Config!$C$4</f>
        <v>1</v>
      </c>
      <c r="V17" s="79">
        <f>IF(U17=1, Config!$C$27,
  IF(U17=2, Config!$D$27,
    IF(U17=3, Config!$E$27,
      IF(U17=4, Config!$F$27,
        IF(U17=5, Config!$G$27,
          IF(U17=6, Config!$H$27,
            Config!$I$27
          )
        )
      )
    )
  )
)</f>
        <v>0</v>
      </c>
      <c r="W17" s="79">
        <f>IF(U17=1, Config!$C$28,
  IF(U17=2, Config!$D$28,
    IF(U17=3, Config!$E$28,
      IF(U17=4, Config!$F$28,
        IF(U17=5, Config!$G$28,
          IF(U17=6, Config!$H$28,
            Config!$I$28
          )
        )
      )
    )
  )
)</f>
        <v>0</v>
      </c>
      <c r="X17" s="79">
        <f>IF(U17=1, Config!$C$29,
  IF(U17=2, Config!$D$29,
    IF(U17=3, Config!$E$29,
      IF(U17=4, Config!$F$29,
        IF(U17=5, Config!$G$29,
          IF(U17=6, Config!$H$29,
            Config!$I$29
          )
        )
      )
    )
  )
)</f>
        <v>0</v>
      </c>
      <c r="Y17" s="79">
        <f>IF(U17=1, Config!$C$30,
  IF(U17=2, Config!$D$30,
    IF(U17=3, Config!$E$30,
      IF(U17=4, Config!$F$30,
        IF(U17=5, Config!$G$30,
          IF(U17=6, Config!$H$30,
            Config!$I$30
          )
        )
      )
    )
  )
)</f>
        <v>0</v>
      </c>
      <c r="AA17" s="79">
        <f t="shared" si="0"/>
        <v>-90</v>
      </c>
      <c r="AB17" s="79">
        <f t="shared" si="1"/>
        <v>180</v>
      </c>
      <c r="AC17" s="72"/>
      <c r="AD17" s="79">
        <f>IF(I17="","",
  IF(Config!$C$51=1, D17,
    IF(U17&lt;=2,
      (D17 - V17)*COS(RADIANS(AB17)) + (E17 - W17)*SIN(RADIANS(AB17)) + V17,
      IF(U17=3,
        ((D17 - V17)*COS(RADIANS(AB17)) + (E17 - W17)*SIN(RADIANS(AB17)))*COS(RADIANS(AA17))
        + (F17 - X17)*SIN(RADIANS(AA17)) + V17,
        IF(U17=4,
          (D17*COS(RADIANS(AB17)) + E17*SIN(RADIANS(AB17)) + V17) + Y17*SIN(RADIANS(AA17)),
          IF(U17=5,
            D17 + Y17*SIN(RADIANS(AA17))*COS(RADIANS(AB17)),
            IF(U17=6,
              (D17*COS(RADIANS(AB17)) + E17*SIN(RADIANS(AB17)) + V17)
              + Y17*SIN(RADIANS(AA17))*SIN(RADIANS(Config!$H$18)),
              COS(RADIANS(AA17)) * (((D17 - V17)*COS(RADIANS(AB17)) + (E17 - W17)*SIN(RADIANS(AB17))))
              + SIN(RADIANS(AA17)) * (
                Config!$C$16*(F17 - X17)
                - Config!$C$17*(-(D17 - V17)*SIN(RADIANS(AB17)) + (E17 - W17)*COS(RADIANS(AB17)))
              )
              + (1 - COS(RADIANS(AA17))) * (
                ((D17 - V17)*COS(RADIANS(AB17)) + (E17 - W17)*SIN(RADIANS(AB17)))*Config!$C$15
                + (-(D17 - V17)*SIN(RADIANS(AB17)) + (E17 - W17)*COS(RADIANS(AB17)))*Config!$C$16
                + (F17 - X17)*Config!$C$17
              ) * Config!$C$15
              + V17
            )
          )
        )
      )
    )
  )
)</f>
        <v>-85.999999999999986</v>
      </c>
      <c r="AE17" s="79">
        <f>IF(I17="","",
  IF(Config!$C$51=1, E17,
    IF(U17 &lt;= 2,
      (-(D17 - V17) * SIN(RADIANS(AB17)) + (E17 - W17) * COS(RADIANS(AB17))) * COS(RADIANS(AA17))
      + (F17 - X17) * SIN(RADIANS(AA17))
      + W17,
      IF(U17 = 3,
        (-(D17 - V17) * SIN(RADIANS(AB17)) + (E17 - W17) * COS(RADIANS(AB17)))
        + W17,
        IF(U17 = 4,
          -(D17) * SIN(RADIANS(AB17)) + (E17) * COS(RADIANS(AB17))
          + W17,
          IF(U17 = 5,
            E17 + Y17 * SIN(RADIANS(AA17)) * SIN(RADIANS(AB17)),
            IF(U17 = 6,
              (-(D17) * SIN(RADIANS(AB17)) + (E17) * COS(RADIANS(AB17)) + W17)
              + Y17 * (1 - COS(RADIANS(AA17))) * SIN(RADIANS(Config!$H$18)) * COS(RADIANS(Config!$H$18)),
              COS(RADIANS(AA17)) * (-(D17 - V17) * SIN(RADIANS(AB17)) + (E17 - W17) * COS(RADIANS(AB17)))
              + SIN(RADIANS(AA17)) * (
                Config!$C$17 * ((D17 - V17) * COS(RADIANS(AB17)) + (E17 - W17) * SIN(RADIANS(AB17)))
                - Config!$C$15 * (F17 - X17)
              )
              + (1 - COS(RADIANS(AA17))) * (
                ((D17 - V17) * COS(RADIANS(AB17)) + (E17 - W17) * SIN(RADIANS(AB17))) * Config!$C$15
                + (-(D17 - V17) * SIN(RADIANS(AB17)) + (E17 - W17) * COS(RADIANS(AB17))) * Config!$C$16
                + (F17 - X17) * Config!$C$17
              ) * Config!$C$16
              + W17
            )
          )
        )
      )
    )
  )
)</f>
        <v>-22.340100000000007</v>
      </c>
      <c r="AF17" s="79">
        <f>IF(I17="","",
  IF(Config!$C$51=1, F17,
    IF(U17 &lt;= 2,
      -((-(D17 - V17) * SIN(RADIANS(AB17)) + (E17 - W17) * COS(RADIANS(AB17)))) * SIN(RADIANS(AA17))
      + (F17 - X17) * COS(RADIANS(AA17))
      + X17,
      IF(U17 = 3,
        -(((D17 - V17) * COS(RADIANS(AB17)) + (E17 - W17) * SIN(RADIANS(AB17)))) * SIN(RADIANS(AA17))
        + (F17 - X17) * COS(RADIANS(AA17))
        + X17,
        IF(U17 = 4,
          (F17 + X17) - Y17 * (1 - COS(RADIANS(AA17))),
          IF(U17 = 5,
            F17 - Y17 * (1 - COS(RADIANS(AA17))),
            IF(U17 = 6,
              (F17 + X17) - Y17 * SIN(RADIANS(Config!$H$18)) * SIN(RADIANS(Config!$H$18)) * (1 - COS(RADIANS(AA17))),
              COS(RADIANS(AA17)) * (F17 - X17)
              + SIN(RADIANS(AA17)) * (
                Config!$C$15 * (-(D17 - V17) * SIN(RADIANS(AB17)) + (E17 - W17) * COS(RADIANS(AB17)))
                - Config!$C$16 * ((D17 - V17) * COS(RADIANS(AB17)) + (E17 - W17) * SIN(RADIANS(AB17)))
              )
              + (1 - COS(RADIANS(AA17))) * (
                ((D17 - V17) * COS(RADIANS(AB17)) + (E17 - W17) * SIN(RADIANS(AB17))) * Config!$C$15
                + (-(D17 - V17) * SIN(RADIANS(AB17)) + (E17 - W17) * COS(RADIANS(AB17))) * Config!$C$16
                + (F17 - X17) * Config!$C$17
              ) * Config!$C$17
              + X17
            )
          )
        )
      )
    )
  )
)</f>
        <v>-120.03000000000002</v>
      </c>
      <c r="AG17" s="72"/>
      <c r="AH17" s="96" t="str">
        <f>IF(I17="","",
  IF(OR(AA17="N/A", AA17=""),
    "N/A",
    IF(OR(
      AA17 &lt; IF(Config!$C$4=1,Config!$C$34,
        IF(Config!$C$4=2,Config!$D$34,
          IF(Config!$C$4=3,Config!$E$34,
            IF(Config!$C$4=4,Config!$F$34,
              IF(Config!$C$4=5,Config!$G$34,
                IF(Config!$C$4=6,Config!$H$34,Config!$I$34)
              )
            )
          )
        )
      ),
      AA17 &gt; IF(Config!$C$4=1,Config!$C$35,
        IF(Config!$C$4=2,Config!$D$35,
          IF(Config!$C$4=3,Config!$E$35,
            IF(Config!$C$4=4,Config!$F$35,
              IF(Config!$C$4=5,Config!$G$35,
                IF(Config!$C$4=6,Config!$H$35,Config!$I$35)
              )
            )
          )
        )
      )
    ),
    "⚠ OUT OF RANGE",
    "OK"
    )
  )
)</f>
        <v>OK</v>
      </c>
      <c r="AI17" s="96" t="str">
        <f>IF(I17="","",
  IF(OR(AB17="N/A", AB17=""),
    "N/A",
    IF(OR(
      AB17 &lt; IF(Config!$C$4=1,Config!$C$36,
        IF(Config!$C$4=2,Config!$D$36,
          IF(Config!$C$4=3,Config!$E$36,
            IF(Config!$C$4=4,Config!$F$36,
              IF(Config!$C$4=5,Config!$G$36,
                IF(Config!$C$4=6,Config!$H$36,Config!$I$36)
              )
            )
          )
        )
      ),
      AB17 &gt; IF(Config!$C$4=1,Config!$C$37,
        IF(Config!$C$4=2,Config!$D$37,
          IF(Config!$C$4=3,Config!$E$37,
            IF(Config!$C$4=4,Config!$F$37,
              IF(Config!$C$4=5,Config!$G$37,
                IF(Config!$C$4=6,Config!$H$37,Config!$I$37)
              )
            )
          )
        )
      )
    ),
    "⚠ OUT OF RANGE",
    "OK"
    )
  )
)</f>
        <v>OK</v>
      </c>
    </row>
    <row r="18" spans="1:35" ht="18" customHeight="1" x14ac:dyDescent="0.25">
      <c r="A18" s="43"/>
      <c r="B18" s="47">
        <v>14</v>
      </c>
      <c r="C18" s="71" t="s">
        <v>301</v>
      </c>
      <c r="D18" s="64">
        <v>-120.03</v>
      </c>
      <c r="E18" s="64">
        <v>86</v>
      </c>
      <c r="F18" s="64">
        <v>22.3401</v>
      </c>
      <c r="G18" s="64">
        <v>-1</v>
      </c>
      <c r="H18" s="64">
        <v>0</v>
      </c>
      <c r="I18" s="64">
        <v>0</v>
      </c>
      <c r="J18" s="47"/>
      <c r="K18" s="79">
        <f>IF(
    I18="",
    "",
    IF(
        Config!$C$4&lt;=2,
        IF(
            AND(G18=0,H18=0),
            0,
            IF(
                H18&gt;=0,
                DEGREES(ACOS(I18)),
                -DEGREES(ACOS(I18))
            )
        ),
        IF(
            Config!$C$4=3,
            IF(
                AND(G18=0,H18=0),
                0,
                IF(
                    G18&gt;=0,
                    DEGREES(ACOS(I18)),
                    -DEGREES(ACOS(I18))
                )
            ),
            IF(
                Config!$C$4=4,
                IF(
                    AND(G18=0,H18=0),
                    0,
                    DEGREES(ATAN2(I18,G18))
                ),
                IF(
                    Config!$C$4=5,
                    IF(
                        AND(G18=0,H18=0),
                        0,
                        DEGREES(ACOS(I18))
                    ),
                    IF(
                        Config!$C$4=6,
                        IF(
                            AND(G18=0,H18=0),
                            0,
                            IF(
                                G18&gt;=0,
                                DEGREES(ACOS(2*I18-1)),
                                -DEGREES(ACOS(2*I18-1))
                            )
                        ),
                        IF(
                            AND(G18=0,H18=0),
                            0,
                            IF(
                                ((G18*Config!$C$16-H18*Config!$C$15))&lt;=0,
                                DEGREES(
                                    ACOS(
                                        MAX(
                                            -1,
                                            MIN(
                                                1,
                                                (I18-Config!$C$20)/Config!$C$21
                                            )
                                        )
                                    )
                                ),
                                -DEGREES(
                                    ACOS(
                                        MAX(
                                            -1,
                                            MIN(
                                                1,
                                                (I18-Config!$C$20)/Config!$C$21
                                            )
                                        )
                                    )
                                )
                            )
                        )
                    )
                )
            )
        )
    )
)</f>
        <v>90</v>
      </c>
      <c r="L18" s="79">
        <f>IF(
    I18="",
    "",
    IF(
        Config!$C$4&lt;=2,
        IF(
            AND(G18=0,H18=0),
            0,
            DEGREES(ATAN2(H18,G18))
        ),
        IF(
            Config!$C$4=3,
            IF(
                AND(G18=0,H18=0),
                0,
                DEGREES(ATAN2(G18,-H18))
            ),
            IF(
                Config!$C$4=4,
                0,
                IF(
                    Config!$C$4=5,
                    IF(
                        AND(G18=0,H18=0),
                        0,
                        DEGREES(ATAN2(H18,G18))
                    ),
                    IF(
                        Config!$C$4=6,
                        IF(
                            AND(G18=0,H18=0),
                            0,
                            DEGREES(ATAN2(H18,G18))
                        ),
                        0
                    )
                )
            )
        )
    )
)</f>
        <v>-90</v>
      </c>
      <c r="M18" s="47"/>
      <c r="N18" s="79">
        <f>IF(I18="","",
  IF(Config!$C$51=1, D18,
    IF(U18&lt;=2,
      (D18 - V18)*COS(RADIANS(L18)) + (E18 - W18)*SIN(RADIANS(L18)) + V18,
      IF(U18=3,
        ((D18 - V18)*COS(RADIANS(L18)) + (E18 - W18)*SIN(RADIANS(L18)))*COS(RADIANS(K18))
        + (F18 - X18)*SIN(RADIANS(K18)) + V18,
        IF(U18=4,
          (D18*COS(RADIANS(L18)) + E18*SIN(RADIANS(L18)) + V18) + Y18*SIN(RADIANS(K18)),
          IF(U18=5,
            D18 + Y18*SIN(RADIANS(K18))*COS(RADIANS(L18)),
            IF(U18=6,
              (D18*COS(RADIANS(L18)) + E18*SIN(RADIANS(L18)) + V18)
              + Y18*SIN(RADIANS(K18))*SIN(RADIANS(Config!$H$18)),
              COS(RADIANS(K18)) * (((D18 - V18)*COS(RADIANS(L18)) + (E18 - W18)*SIN(RADIANS(L18))))
              + SIN(RADIANS(K18)) * (
                Config!$C$16*(F18 - X18)
                - Config!$C$17*(-(D18 - V18)*SIN(RADIANS(L18)) + (E18 - W18)*COS(RADIANS(L18)))
              )
              + (1 - COS(RADIANS(K18))) * (
                ((D18 - V18)*COS(RADIANS(L18)) + (E18 - W18)*SIN(RADIANS(L18)))*Config!$C$15
                + (-(D18 - V18)*SIN(RADIANS(L18)) + (E18 - W18)*COS(RADIANS(L18)))*Config!$C$16
                + (F18 - X18)*Config!$C$17
              ) * Config!$C$15
              + V18
            )
          )
        )
      )
    )
  )
)</f>
        <v>-86.000000000000014</v>
      </c>
      <c r="O18" s="79">
        <f>IF(I18="","",
  IF(Config!$C$51=1, E18,
    IF(U18 &lt;= 2,
      (-(D18 - V18) * SIN(RADIANS(L18)) + (E18 - W18) * COS(RADIANS(L18))) * COS(RADIANS(K18))
      + (F18 - X18) * SIN(RADIANS(K18))
      + W18,
      IF(U18 = 3,
        (-(D18 - V18) * SIN(RADIANS(L18)) + (E18 - W18) * COS(RADIANS(L18)))
        + W18,
        IF(U18 = 4,
          -(D18) * SIN(RADIANS(L18)) + (E18) * COS(RADIANS(L18))
          + W18,
          IF(U18 = 5,
            E18 + Y18 * SIN(RADIANS(K18)) * SIN(RADIANS(L18)),
            IF(U18 = 6,
              (-(D18) * SIN(RADIANS(L18)) + (E18) * COS(RADIANS(L18)) + W18)
              + Y18 * (1 - COS(RADIANS(K18))) * SIN(RADIANS(Config!$H$18)) * COS(RADIANS(Config!$H$18)),
              COS(RADIANS(K18)) * (-(D18 - V18) * SIN(RADIANS(L18)) + (E18 - W18) * COS(RADIANS(L18)))
              + SIN(RADIANS(K18)) * (
                Config!$C$17 * ((D18 - V18) * COS(RADIANS(L18)) + (E18 - W18) * SIN(RADIANS(L18)))
                - Config!$C$15 * (F18 - X18)
              )
              + (1 - COS(RADIANS(K18))) * (
                ((D18 - V18) * COS(RADIANS(L18)) + (E18 - W18) * SIN(RADIANS(L18))) * Config!$C$15
                + (-(D18 - V18) * SIN(RADIANS(L18)) + (E18 - W18) * COS(RADIANS(L18))) * Config!$C$16
                + (F18 - X18) * Config!$C$17
              ) * Config!$C$16
              + W18
            )
          )
        )
      )
    )
  )
)</f>
        <v>22.340099999999993</v>
      </c>
      <c r="P18" s="79">
        <f>IF(I18="","",
  IF(Config!$C$51=1, F18,
    IF(U18 &lt;= 2,
      -((-(D18 - V18) * SIN(RADIANS(L18)) + (E18 - W18) * COS(RADIANS(L18)))) * SIN(RADIANS(K18))
      + (F18 - X18) * COS(RADIANS(K18))
      + X18,
      IF(U18 = 3,
        -(((D18 - V18) * COS(RADIANS(L18)) + (E18 - W18) * SIN(RADIANS(L18)))) * SIN(RADIANS(K18))
        + (F18 - X18) * COS(RADIANS(K18))
        + X18,
        IF(U18 = 4,
          (F18 + X18) - Y18 * (1 - COS(RADIANS(K18))),
          IF(U18 = 5,
            F18 - Y18 * (1 - COS(RADIANS(K18))),
            IF(U18 = 6,
              (F18 + X18) - Y18 * SIN(RADIANS(Config!$H$18)) * SIN(RADIANS(Config!$H$18)) * (1 - COS(RADIANS(K18))),
              COS(RADIANS(K18)) * (F18 - X18)
              + SIN(RADIANS(K18)) * (
                Config!$C$15 * (-(D18 - V18) * SIN(RADIANS(L18)) + (E18 - W18) * COS(RADIANS(L18)))
                - Config!$C$16 * ((D18 - V18) * COS(RADIANS(L18)) + (E18 - W18) * SIN(RADIANS(L18)))
              )
              + (1 - COS(RADIANS(K18))) * (
                ((D18 - V18) * COS(RADIANS(L18)) + (E18 - W18) * SIN(RADIANS(L18))) * Config!$C$15
                + (-(D18 - V18) * SIN(RADIANS(L18)) + (E18 - W18) * COS(RADIANS(L18))) * Config!$C$16
                + (F18 - X18) * Config!$C$17
              ) * Config!$C$17
              + X18
            )
          )
        )
      )
    )
  )
)</f>
        <v>120.03</v>
      </c>
      <c r="Q18" s="47"/>
      <c r="R18" s="95" t="str">
        <f>IF(I18="","",
  IF(OR(
    K18 &lt; IF(Config!$C$4=1,Config!$C$34,
      IF(Config!$C$4=2,Config!$D$34,
        IF(Config!$C$4=3,Config!$E$34,
          IF(Config!$C$4=4,Config!$F$34,
            IF(Config!$C$4=5,Config!$G$34,
              IF(Config!$C$4=6,Config!$H$34,Config!$I$34)
            )
          )
        )
      )
    ),
    K18 &gt; IF(Config!$C$4=1,Config!$C$35,
      IF(Config!$C$4=2,Config!$D$35,
        IF(Config!$C$4=3,Config!$E$35,
          IF(Config!$C$4=4,Config!$F$35,
            IF(Config!$C$4=5,Config!$G$35,
              IF(Config!$C$4=6,Config!$H$35,Config!$I$35)
            )
          )
        )
      )
    )
  ),
    "⚠ OUT OF RANGE",
    "OK"
  )
)</f>
        <v>⚠ OUT OF RANGE</v>
      </c>
      <c r="S18" s="95" t="str">
        <f>IF(I18="","",
  IF(OR(
    L18 &lt; IF(Config!$C$4=1,Config!$C$36,
      IF(Config!$C$4=2,Config!$D$36,
        IF(Config!$C$4=3,Config!$E$36,
          IF(Config!$C$4=4,Config!$F$36,
            IF(Config!$C$4=5,Config!$G$36,
              IF(Config!$C$4=6,Config!$H$36,Config!$I$36)
            )
          )
        )
      )
    ),
    L18 &gt; IF(Config!$C$4=1,Config!$C$37,
      IF(Config!$C$4=2,Config!$D$37,
        IF(Config!$C$4=3,Config!$E$37,
          IF(Config!$C$4=4,Config!$F$37,
            IF(Config!$C$4=5,Config!$G$37,
              IF(Config!$C$4=6,Config!$H$37,Config!$I$37)
            )
          )
        )
      )
    )
  ),
    "⚠ OUT OF RANGE",
    "OK"
  )
)</f>
        <v>OK</v>
      </c>
      <c r="T18" s="47"/>
      <c r="U18" s="79">
        <f>Config!$C$4</f>
        <v>1</v>
      </c>
      <c r="V18" s="79">
        <f>IF(U18=1, Config!$C$27,
  IF(U18=2, Config!$D$27,
    IF(U18=3, Config!$E$27,
      IF(U18=4, Config!$F$27,
        IF(U18=5, Config!$G$27,
          IF(U18=6, Config!$H$27,
            Config!$I$27
          )
        )
      )
    )
  )
)</f>
        <v>0</v>
      </c>
      <c r="W18" s="79">
        <f>IF(U18=1, Config!$C$28,
  IF(U18=2, Config!$D$28,
    IF(U18=3, Config!$E$28,
      IF(U18=4, Config!$F$28,
        IF(U18=5, Config!$G$28,
          IF(U18=6, Config!$H$28,
            Config!$I$28
          )
        )
      )
    )
  )
)</f>
        <v>0</v>
      </c>
      <c r="X18" s="79">
        <f>IF(U18=1, Config!$C$29,
  IF(U18=2, Config!$D$29,
    IF(U18=3, Config!$E$29,
      IF(U18=4, Config!$F$29,
        IF(U18=5, Config!$G$29,
          IF(U18=6, Config!$H$29,
            Config!$I$29
          )
        )
      )
    )
  )
)</f>
        <v>0</v>
      </c>
      <c r="Y18" s="79">
        <f>IF(U18=1, Config!$C$30,
  IF(U18=2, Config!$D$30,
    IF(U18=3, Config!$E$30,
      IF(U18=4, Config!$F$30,
        IF(U18=5, Config!$G$30,
          IF(U18=6, Config!$H$30,
            Config!$I$30
          )
        )
      )
    )
  )
)</f>
        <v>0</v>
      </c>
      <c r="AA18" s="79">
        <f t="shared" si="0"/>
        <v>-90</v>
      </c>
      <c r="AB18" s="79">
        <f t="shared" si="1"/>
        <v>90</v>
      </c>
      <c r="AC18" s="72"/>
      <c r="AD18" s="79">
        <f>IF(I18="","",
  IF(Config!$C$51=1, D18,
    IF(U18&lt;=2,
      (D18 - V18)*COS(RADIANS(AB18)) + (E18 - W18)*SIN(RADIANS(AB18)) + V18,
      IF(U18=3,
        ((D18 - V18)*COS(RADIANS(AB18)) + (E18 - W18)*SIN(RADIANS(AB18)))*COS(RADIANS(AA18))
        + (F18 - X18)*SIN(RADIANS(AA18)) + V18,
        IF(U18=4,
          (D18*COS(RADIANS(AB18)) + E18*SIN(RADIANS(AB18)) + V18) + Y18*SIN(RADIANS(AA18)),
          IF(U18=5,
            D18 + Y18*SIN(RADIANS(AA18))*COS(RADIANS(AB18)),
            IF(U18=6,
              (D18*COS(RADIANS(AB18)) + E18*SIN(RADIANS(AB18)) + V18)
              + Y18*SIN(RADIANS(AA18))*SIN(RADIANS(Config!$H$18)),
              COS(RADIANS(AA18)) * (((D18 - V18)*COS(RADIANS(AB18)) + (E18 - W18)*SIN(RADIANS(AB18))))
              + SIN(RADIANS(AA18)) * (
                Config!$C$16*(F18 - X18)
                - Config!$C$17*(-(D18 - V18)*SIN(RADIANS(AB18)) + (E18 - W18)*COS(RADIANS(AB18)))
              )
              + (1 - COS(RADIANS(AA18))) * (
                ((D18 - V18)*COS(RADIANS(AB18)) + (E18 - W18)*SIN(RADIANS(AB18)))*Config!$C$15
                + (-(D18 - V18)*SIN(RADIANS(AB18)) + (E18 - W18)*COS(RADIANS(AB18)))*Config!$C$16
                + (F18 - X18)*Config!$C$17
              ) * Config!$C$15
              + V18
            )
          )
        )
      )
    )
  )
)</f>
        <v>85.999999999999986</v>
      </c>
      <c r="AE18" s="79">
        <f>IF(I18="","",
  IF(Config!$C$51=1, E18,
    IF(U18 &lt;= 2,
      (-(D18 - V18) * SIN(RADIANS(AB18)) + (E18 - W18) * COS(RADIANS(AB18))) * COS(RADIANS(AA18))
      + (F18 - X18) * SIN(RADIANS(AA18))
      + W18,
      IF(U18 = 3,
        (-(D18 - V18) * SIN(RADIANS(AB18)) + (E18 - W18) * COS(RADIANS(AB18)))
        + W18,
        IF(U18 = 4,
          -(D18) * SIN(RADIANS(AB18)) + (E18) * COS(RADIANS(AB18))
          + W18,
          IF(U18 = 5,
            E18 + Y18 * SIN(RADIANS(AA18)) * SIN(RADIANS(AB18)),
            IF(U18 = 6,
              (-(D18) * SIN(RADIANS(AB18)) + (E18) * COS(RADIANS(AB18)) + W18)
              + Y18 * (1 - COS(RADIANS(AA18))) * SIN(RADIANS(Config!$H$18)) * COS(RADIANS(Config!$H$18)),
              COS(RADIANS(AA18)) * (-(D18 - V18) * SIN(RADIANS(AB18)) + (E18 - W18) * COS(RADIANS(AB18)))
              + SIN(RADIANS(AA18)) * (
                Config!$C$17 * ((D18 - V18) * COS(RADIANS(AB18)) + (E18 - W18) * SIN(RADIANS(AB18)))
                - Config!$C$15 * (F18 - X18)
              )
              + (1 - COS(RADIANS(AA18))) * (
                ((D18 - V18) * COS(RADIANS(AB18)) + (E18 - W18) * SIN(RADIANS(AB18))) * Config!$C$15
                + (-(D18 - V18) * SIN(RADIANS(AB18)) + (E18 - W18) * COS(RADIANS(AB18))) * Config!$C$16
                + (F18 - X18) * Config!$C$17
              ) * Config!$C$16
              + W18
            )
          )
        )
      )
    )
  )
)</f>
        <v>-22.340099999999993</v>
      </c>
      <c r="AF18" s="79">
        <f>IF(I18="","",
  IF(Config!$C$51=1, F18,
    IF(U18 &lt;= 2,
      -((-(D18 - V18) * SIN(RADIANS(AB18)) + (E18 - W18) * COS(RADIANS(AB18)))) * SIN(RADIANS(AA18))
      + (F18 - X18) * COS(RADIANS(AA18))
      + X18,
      IF(U18 = 3,
        -(((D18 - V18) * COS(RADIANS(AB18)) + (E18 - W18) * SIN(RADIANS(AB18)))) * SIN(RADIANS(AA18))
        + (F18 - X18) * COS(RADIANS(AA18))
        + X18,
        IF(U18 = 4,
          (F18 + X18) - Y18 * (1 - COS(RADIANS(AA18))),
          IF(U18 = 5,
            F18 - Y18 * (1 - COS(RADIANS(AA18))),
            IF(U18 = 6,
              (F18 + X18) - Y18 * SIN(RADIANS(Config!$H$18)) * SIN(RADIANS(Config!$H$18)) * (1 - COS(RADIANS(AA18))),
              COS(RADIANS(AA18)) * (F18 - X18)
              + SIN(RADIANS(AA18)) * (
                Config!$C$15 * (-(D18 - V18) * SIN(RADIANS(AB18)) + (E18 - W18) * COS(RADIANS(AB18)))
                - Config!$C$16 * ((D18 - V18) * COS(RADIANS(AB18)) + (E18 - W18) * SIN(RADIANS(AB18)))
              )
              + (1 - COS(RADIANS(AA18))) * (
                ((D18 - V18) * COS(RADIANS(AB18)) + (E18 - W18) * SIN(RADIANS(AB18))) * Config!$C$15
                + (-(D18 - V18) * SIN(RADIANS(AB18)) + (E18 - W18) * COS(RADIANS(AB18))) * Config!$C$16
                + (F18 - X18) * Config!$C$17
              ) * Config!$C$17
              + X18
            )
          )
        )
      )
    )
  )
)</f>
        <v>120.03</v>
      </c>
      <c r="AG18" s="72"/>
      <c r="AH18" s="96" t="str">
        <f>IF(I18="","",
  IF(OR(AA18="N/A", AA18=""),
    "N/A",
    IF(OR(
      AA18 &lt; IF(Config!$C$4=1,Config!$C$34,
        IF(Config!$C$4=2,Config!$D$34,
          IF(Config!$C$4=3,Config!$E$34,
            IF(Config!$C$4=4,Config!$F$34,
              IF(Config!$C$4=5,Config!$G$34,
                IF(Config!$C$4=6,Config!$H$34,Config!$I$34)
              )
            )
          )
        )
      ),
      AA18 &gt; IF(Config!$C$4=1,Config!$C$35,
        IF(Config!$C$4=2,Config!$D$35,
          IF(Config!$C$4=3,Config!$E$35,
            IF(Config!$C$4=4,Config!$F$35,
              IF(Config!$C$4=5,Config!$G$35,
                IF(Config!$C$4=6,Config!$H$35,Config!$I$35)
              )
            )
          )
        )
      )
    ),
    "⚠ OUT OF RANGE",
    "OK"
    )
  )
)</f>
        <v>OK</v>
      </c>
      <c r="AI18" s="96" t="str">
        <f>IF(I18="","",
  IF(OR(AB18="N/A", AB18=""),
    "N/A",
    IF(OR(
      AB18 &lt; IF(Config!$C$4=1,Config!$C$36,
        IF(Config!$C$4=2,Config!$D$36,
          IF(Config!$C$4=3,Config!$E$36,
            IF(Config!$C$4=4,Config!$F$36,
              IF(Config!$C$4=5,Config!$G$36,
                IF(Config!$C$4=6,Config!$H$36,Config!$I$36)
              )
            )
          )
        )
      ),
      AB18 &gt; IF(Config!$C$4=1,Config!$C$37,
        IF(Config!$C$4=2,Config!$D$37,
          IF(Config!$C$4=3,Config!$E$37,
            IF(Config!$C$4=4,Config!$F$37,
              IF(Config!$C$4=5,Config!$G$37,
                IF(Config!$C$4=6,Config!$H$37,Config!$I$37)
              )
            )
          )
        )
      )
    ),
    "⚠ OUT OF RANGE",
    "OK"
    )
  )
)</f>
        <v>OK</v>
      </c>
    </row>
    <row r="19" spans="1:35" ht="18" customHeight="1" x14ac:dyDescent="0.25">
      <c r="A19" s="43"/>
      <c r="B19" s="47">
        <v>15</v>
      </c>
      <c r="C19" s="71" t="s">
        <v>302</v>
      </c>
      <c r="D19" s="64">
        <v>-59.542499999999997</v>
      </c>
      <c r="E19" s="64">
        <v>-85.289699999999996</v>
      </c>
      <c r="F19" s="64">
        <v>79.312299999999993</v>
      </c>
      <c r="G19" s="64">
        <v>0</v>
      </c>
      <c r="H19" s="64">
        <v>-0.5</v>
      </c>
      <c r="I19" s="64">
        <v>0.86602539999999995</v>
      </c>
      <c r="J19" s="47"/>
      <c r="K19" s="79">
        <f>IF(
    I19="",
    "",
    IF(
        Config!$C$4&lt;=2,
        IF(
            AND(G19=0,H19=0),
            0,
            IF(
                H19&gt;=0,
                DEGREES(ACOS(I19)),
                -DEGREES(ACOS(I19))
            )
        ),
        IF(
            Config!$C$4=3,
            IF(
                AND(G19=0,H19=0),
                0,
                IF(
                    G19&gt;=0,
                    DEGREES(ACOS(I19)),
                    -DEGREES(ACOS(I19))
                )
            ),
            IF(
                Config!$C$4=4,
                IF(
                    AND(G19=0,H19=0),
                    0,
                    DEGREES(ATAN2(I19,G19))
                ),
                IF(
                    Config!$C$4=5,
                    IF(
                        AND(G19=0,H19=0),
                        0,
                        DEGREES(ACOS(I19))
                    ),
                    IF(
                        Config!$C$4=6,
                        IF(
                            AND(G19=0,H19=0),
                            0,
                            IF(
                                G19&gt;=0,
                                DEGREES(ACOS(2*I19-1)),
                                -DEGREES(ACOS(2*I19-1))
                            )
                        ),
                        IF(
                            AND(G19=0,H19=0),
                            0,
                            IF(
                                ((G19*Config!$C$16-H19*Config!$C$15))&lt;=0,
                                DEGREES(
                                    ACOS(
                                        MAX(
                                            -1,
                                            MIN(
                                                1,
                                                (I19-Config!$C$20)/Config!$C$21
                                            )
                                        )
                                    )
                                ),
                                -DEGREES(
                                    ACOS(
                                        MAX(
                                            -1,
                                            MIN(
                                                1,
                                                (I19-Config!$C$20)/Config!$C$21
                                            )
                                        )
                                    )
                                )
                            )
                        )
                    )
                )
            )
        )
    )
)</f>
        <v>-30.000000433664731</v>
      </c>
      <c r="L19" s="79">
        <f>IF(
    I19="",
    "",
    IF(
        Config!$C$4&lt;=2,
        IF(
            AND(G19=0,H19=0),
            0,
            DEGREES(ATAN2(H19,G19))
        ),
        IF(
            Config!$C$4=3,
            IF(
                AND(G19=0,H19=0),
                0,
                DEGREES(ATAN2(G19,-H19))
            ),
            IF(
                Config!$C$4=4,
                0,
                IF(
                    Config!$C$4=5,
                    IF(
                        AND(G19=0,H19=0),
                        0,
                        DEGREES(ATAN2(H19,G19))
                    ),
                    IF(
                        Config!$C$4=6,
                        IF(
                            AND(G19=0,H19=0),
                            0,
                            DEGREES(ATAN2(H19,G19))
                        ),
                        0
                    )
                )
            )
        )
    )
)</f>
        <v>180</v>
      </c>
      <c r="M19" s="47"/>
      <c r="N19" s="79">
        <f>IF(I19="","",
  IF(Config!$C$51=1, D19,
    IF(U19&lt;=2,
      (D19 - V19)*COS(RADIANS(L19)) + (E19 - W19)*SIN(RADIANS(L19)) + V19,
      IF(U19=3,
        ((D19 - V19)*COS(RADIANS(L19)) + (E19 - W19)*SIN(RADIANS(L19)))*COS(RADIANS(K19))
        + (F19 - X19)*SIN(RADIANS(K19)) + V19,
        IF(U19=4,
          (D19*COS(RADIANS(L19)) + E19*SIN(RADIANS(L19)) + V19) + Y19*SIN(RADIANS(K19)),
          IF(U19=5,
            D19 + Y19*SIN(RADIANS(K19))*COS(RADIANS(L19)),
            IF(U19=6,
              (D19*COS(RADIANS(L19)) + E19*SIN(RADIANS(L19)) + V19)
              + Y19*SIN(RADIANS(K19))*SIN(RADIANS(Config!$H$18)),
              COS(RADIANS(K19)) * (((D19 - V19)*COS(RADIANS(L19)) + (E19 - W19)*SIN(RADIANS(L19))))
              + SIN(RADIANS(K19)) * (
                Config!$C$16*(F19 - X19)
                - Config!$C$17*(-(D19 - V19)*SIN(RADIANS(L19)) + (E19 - W19)*COS(RADIANS(L19)))
              )
              + (1 - COS(RADIANS(K19))) * (
                ((D19 - V19)*COS(RADIANS(L19)) + (E19 - W19)*SIN(RADIANS(L19)))*Config!$C$15
                + (-(D19 - V19)*SIN(RADIANS(L19)) + (E19 - W19)*COS(RADIANS(L19)))*Config!$C$16
                + (F19 - X19)*Config!$C$17
              ) * Config!$C$15
              + V19
            )
          )
        )
      )
    )
  )
)</f>
        <v>59.54249999999999</v>
      </c>
      <c r="O19" s="79">
        <f>IF(I19="","",
  IF(Config!$C$51=1, E19,
    IF(U19 &lt;= 2,
      (-(D19 - V19) * SIN(RADIANS(L19)) + (E19 - W19) * COS(RADIANS(L19))) * COS(RADIANS(K19))
      + (F19 - X19) * SIN(RADIANS(K19))
      + W19,
      IF(U19 = 3,
        (-(D19 - V19) * SIN(RADIANS(L19)) + (E19 - W19) * COS(RADIANS(L19)))
        + W19,
        IF(U19 = 4,
          -(D19) * SIN(RADIANS(L19)) + (E19) * COS(RADIANS(L19))
          + W19,
          IF(U19 = 5,
            E19 + Y19 * SIN(RADIANS(K19)) * SIN(RADIANS(L19)),
            IF(U19 = 6,
              (-(D19) * SIN(RADIANS(L19)) + (E19) * COS(RADIANS(L19)) + W19)
              + Y19 * (1 - COS(RADIANS(K19))) * SIN(RADIANS(Config!$H$18)) * COS(RADIANS(Config!$H$18)),
              COS(RADIANS(K19)) * (-(D19 - V19) * SIN(RADIANS(L19)) + (E19 - W19) * COS(RADIANS(L19)))
              + SIN(RADIANS(K19)) * (
                Config!$C$17 * ((D19 - V19) * COS(RADIANS(L19)) + (E19 - W19) * SIN(RADIANS(L19)))
                - Config!$C$15 * (F19 - X19)
              )
              + (1 - COS(RADIANS(K19))) * (
                ((D19 - V19) * COS(RADIANS(L19)) + (E19 - W19) * SIN(RADIANS(L19))) * Config!$C$15
                + (-(D19 - V19) * SIN(RADIANS(L19)) + (E19 - W19) * COS(RADIANS(L19))) * Config!$C$16
                + (F19 - X19) * Config!$C$17
              ) * Config!$C$16
              + W19
            )
          )
        )
      )
    )
  )
)</f>
        <v>34.206896038500574</v>
      </c>
      <c r="P19" s="79">
        <f>IF(I19="","",
  IF(Config!$C$51=1, F19,
    IF(U19 &lt;= 2,
      -((-(D19 - V19) * SIN(RADIANS(L19)) + (E19 - W19) * COS(RADIANS(L19)))) * SIN(RADIANS(K19))
      + (F19 - X19) * COS(RADIANS(K19))
      + X19,
      IF(U19 = 3,
        -(((D19 - V19) * COS(RADIANS(L19)) + (E19 - W19) * SIN(RADIANS(L19)))) * SIN(RADIANS(K19))
        + (F19 - X19) * COS(RADIANS(K19))
        + X19,
        IF(U19 = 4,
          (F19 + X19) - Y19 * (1 - COS(RADIANS(K19))),
          IF(U19 = 5,
            F19 - Y19 * (1 - COS(RADIANS(K19))),
            IF(U19 = 6,
              (F19 + X19) - Y19 * SIN(RADIANS(Config!$H$18)) * SIN(RADIANS(Config!$H$18)) * (1 - COS(RADIANS(K19))),
              COS(RADIANS(K19)) * (F19 - X19)
              + SIN(RADIANS(K19)) * (
                Config!$C$15 * (-(D19 - V19) * SIN(RADIANS(L19)) + (E19 - W19) * COS(RADIANS(L19)))
                - Config!$C$16 * ((D19 - V19) * COS(RADIANS(L19)) + (E19 - W19) * SIN(RADIANS(L19)))
              )
              + (1 - COS(RADIANS(K19))) * (
                ((D19 - V19) * COS(RADIANS(L19)) + (E19 - W19) * SIN(RADIANS(L19))) * Config!$C$15
                + (-(D19 - V19) * SIN(RADIANS(L19)) + (E19 - W19) * COS(RADIANS(L19))) * Config!$C$16
                + (F19 - X19) * Config!$C$17
              ) * Config!$C$17
              + X19
            )
          )
        )
      )
    )
  )
)</f>
        <v>111.33131689148034</v>
      </c>
      <c r="Q19" s="47"/>
      <c r="R19" s="95" t="str">
        <f>IF(I19="","",
  IF(OR(
    K19 &lt; IF(Config!$C$4=1,Config!$C$34,
      IF(Config!$C$4=2,Config!$D$34,
        IF(Config!$C$4=3,Config!$E$34,
          IF(Config!$C$4=4,Config!$F$34,
            IF(Config!$C$4=5,Config!$G$34,
              IF(Config!$C$4=6,Config!$H$34,Config!$I$34)
            )
          )
        )
      )
    ),
    K19 &gt; IF(Config!$C$4=1,Config!$C$35,
      IF(Config!$C$4=2,Config!$D$35,
        IF(Config!$C$4=3,Config!$E$35,
          IF(Config!$C$4=4,Config!$F$35,
            IF(Config!$C$4=5,Config!$G$35,
              IF(Config!$C$4=6,Config!$H$35,Config!$I$35)
            )
          )
        )
      )
    )
  ),
    "⚠ OUT OF RANGE",
    "OK"
  )
)</f>
        <v>OK</v>
      </c>
      <c r="S19" s="95" t="str">
        <f>IF(I19="","",
  IF(OR(
    L19 &lt; IF(Config!$C$4=1,Config!$C$36,
      IF(Config!$C$4=2,Config!$D$36,
        IF(Config!$C$4=3,Config!$E$36,
          IF(Config!$C$4=4,Config!$F$36,
            IF(Config!$C$4=5,Config!$G$36,
              IF(Config!$C$4=6,Config!$H$36,Config!$I$36)
            )
          )
        )
      )
    ),
    L19 &gt; IF(Config!$C$4=1,Config!$C$37,
      IF(Config!$C$4=2,Config!$D$37,
        IF(Config!$C$4=3,Config!$E$37,
          IF(Config!$C$4=4,Config!$F$37,
            IF(Config!$C$4=5,Config!$G$37,
              IF(Config!$C$4=6,Config!$H$37,Config!$I$37)
            )
          )
        )
      )
    )
  ),
    "⚠ OUT OF RANGE",
    "OK"
  )
)</f>
        <v>OK</v>
      </c>
      <c r="T19" s="47"/>
      <c r="U19" s="79">
        <f>Config!$C$4</f>
        <v>1</v>
      </c>
      <c r="V19" s="79">
        <f>IF(U19=1, Config!$C$27,
  IF(U19=2, Config!$D$27,
    IF(U19=3, Config!$E$27,
      IF(U19=4, Config!$F$27,
        IF(U19=5, Config!$G$27,
          IF(U19=6, Config!$H$27,
            Config!$I$27
          )
        )
      )
    )
  )
)</f>
        <v>0</v>
      </c>
      <c r="W19" s="79">
        <f>IF(U19=1, Config!$C$28,
  IF(U19=2, Config!$D$28,
    IF(U19=3, Config!$E$28,
      IF(U19=4, Config!$F$28,
        IF(U19=5, Config!$G$28,
          IF(U19=6, Config!$H$28,
            Config!$I$28
          )
        )
      )
    )
  )
)</f>
        <v>0</v>
      </c>
      <c r="X19" s="79">
        <f>IF(U19=1, Config!$C$29,
  IF(U19=2, Config!$D$29,
    IF(U19=3, Config!$E$29,
      IF(U19=4, Config!$F$29,
        IF(U19=5, Config!$G$29,
          IF(U19=6, Config!$H$29,
            Config!$I$29
          )
        )
      )
    )
  )
)</f>
        <v>0</v>
      </c>
      <c r="Y19" s="79">
        <f>IF(U19=1, Config!$C$30,
  IF(U19=2, Config!$D$30,
    IF(U19=3, Config!$E$30,
      IF(U19=4, Config!$F$30,
        IF(U19=5, Config!$G$30,
          IF(U19=6, Config!$H$30,
            Config!$I$30
          )
        )
      )
    )
  )
)</f>
        <v>0</v>
      </c>
      <c r="AA19" s="79">
        <f t="shared" si="0"/>
        <v>30.000000433664731</v>
      </c>
      <c r="AB19" s="79">
        <f t="shared" si="1"/>
        <v>0</v>
      </c>
      <c r="AC19" s="72"/>
      <c r="AD19" s="79">
        <f>IF(I19="","",
  IF(Config!$C$51=1, D19,
    IF(U19&lt;=2,
      (D19 - V19)*COS(RADIANS(AB19)) + (E19 - W19)*SIN(RADIANS(AB19)) + V19,
      IF(U19=3,
        ((D19 - V19)*COS(RADIANS(AB19)) + (E19 - W19)*SIN(RADIANS(AB19)))*COS(RADIANS(AA19))
        + (F19 - X19)*SIN(RADIANS(AA19)) + V19,
        IF(U19=4,
          (D19*COS(RADIANS(AB19)) + E19*SIN(RADIANS(AB19)) + V19) + Y19*SIN(RADIANS(AA19)),
          IF(U19=5,
            D19 + Y19*SIN(RADIANS(AA19))*COS(RADIANS(AB19)),
            IF(U19=6,
              (D19*COS(RADIANS(AB19)) + E19*SIN(RADIANS(AB19)) + V19)
              + Y19*SIN(RADIANS(AA19))*SIN(RADIANS(Config!$H$18)),
              COS(RADIANS(AA19)) * (((D19 - V19)*COS(RADIANS(AB19)) + (E19 - W19)*SIN(RADIANS(AB19))))
              + SIN(RADIANS(AA19)) * (
                Config!$C$16*(F19 - X19)
                - Config!$C$17*(-(D19 - V19)*SIN(RADIANS(AB19)) + (E19 - W19)*COS(RADIANS(AB19)))
              )
              + (1 - COS(RADIANS(AA19))) * (
                ((D19 - V19)*COS(RADIANS(AB19)) + (E19 - W19)*SIN(RADIANS(AB19)))*Config!$C$15
                + (-(D19 - V19)*SIN(RADIANS(AB19)) + (E19 - W19)*COS(RADIANS(AB19)))*Config!$C$16
                + (F19 - X19)*Config!$C$17
              ) * Config!$C$15
              + V19
            )
          )
        )
      )
    )
  )
)</f>
        <v>-59.542499999999997</v>
      </c>
      <c r="AE19" s="79">
        <f>IF(I19="","",
  IF(Config!$C$51=1, E19,
    IF(U19 &lt;= 2,
      (-(D19 - V19) * SIN(RADIANS(AB19)) + (E19 - W19) * COS(RADIANS(AB19))) * COS(RADIANS(AA19))
      + (F19 - X19) * SIN(RADIANS(AA19))
      + W19,
      IF(U19 = 3,
        (-(D19 - V19) * SIN(RADIANS(AB19)) + (E19 - W19) * COS(RADIANS(AB19)))
        + W19,
        IF(U19 = 4,
          -(D19) * SIN(RADIANS(AB19)) + (E19) * COS(RADIANS(AB19))
          + W19,
          IF(U19 = 5,
            E19 + Y19 * SIN(RADIANS(AA19)) * SIN(RADIANS(AB19)),
            IF(U19 = 6,
              (-(D19) * SIN(RADIANS(AB19)) + (E19) * COS(RADIANS(AB19)) + W19)
              + Y19 * (1 - COS(RADIANS(AA19))) * SIN(RADIANS(Config!$H$18)) * COS(RADIANS(Config!$H$18)),
              COS(RADIANS(AA19)) * (-(D19 - V19) * SIN(RADIANS(AB19)) + (E19 - W19) * COS(RADIANS(AB19)))
              + SIN(RADIANS(AA19)) * (
                Config!$C$17 * ((D19 - V19) * COS(RADIANS(AB19)) + (E19 - W19) * SIN(RADIANS(AB19)))
                - Config!$C$15 * (F19 - X19)
              )
              + (1 - COS(RADIANS(AA19))) * (
                ((D19 - V19) * COS(RADIANS(AB19)) + (E19 - W19) * SIN(RADIANS(AB19))) * Config!$C$15
                + (-(D19 - V19) * SIN(RADIANS(AB19)) + (E19 - W19) * COS(RADIANS(AB19))) * Config!$C$16
                + (F19 - X19) * Config!$C$17
              ) * Config!$C$16
              + W19
            )
          )
        )
      )
    )
  )
)</f>
        <v>-34.20689603850056</v>
      </c>
      <c r="AF19" s="79">
        <f>IF(I19="","",
  IF(Config!$C$51=1, F19,
    IF(U19 &lt;= 2,
      -((-(D19 - V19) * SIN(RADIANS(AB19)) + (E19 - W19) * COS(RADIANS(AB19)))) * SIN(RADIANS(AA19))
      + (F19 - X19) * COS(RADIANS(AA19))
      + X19,
      IF(U19 = 3,
        -(((D19 - V19) * COS(RADIANS(AB19)) + (E19 - W19) * SIN(RADIANS(AB19)))) * SIN(RADIANS(AA19))
        + (F19 - X19) * COS(RADIANS(AA19))
        + X19,
        IF(U19 = 4,
          (F19 + X19) - Y19 * (1 - COS(RADIANS(AA19))),
          IF(U19 = 5,
            F19 - Y19 * (1 - COS(RADIANS(AA19))),
            IF(U19 = 6,
              (F19 + X19) - Y19 * SIN(RADIANS(Config!$H$18)) * SIN(RADIANS(Config!$H$18)) * (1 - COS(RADIANS(AA19))),
              COS(RADIANS(AA19)) * (F19 - X19)
              + SIN(RADIANS(AA19)) * (
                Config!$C$15 * (-(D19 - V19) * SIN(RADIANS(AB19)) + (E19 - W19) * COS(RADIANS(AB19)))
                - Config!$C$16 * ((D19 - V19) * COS(RADIANS(AB19)) + (E19 - W19) * SIN(RADIANS(AB19)))
              )
              + (1 - COS(RADIANS(AA19))) * (
                ((D19 - V19) * COS(RADIANS(AB19)) + (E19 - W19) * SIN(RADIANS(AB19))) * Config!$C$15
                + (-(D19 - V19) * SIN(RADIANS(AB19)) + (E19 - W19) * COS(RADIANS(AB19))) * Config!$C$16
                + (F19 - X19) * Config!$C$17
              ) * Config!$C$17
              + X19
            )
          )
        )
      )
    )
  )
)</f>
        <v>111.33131689148033</v>
      </c>
      <c r="AG19" s="72"/>
      <c r="AH19" s="96" t="str">
        <f>IF(I19="","",
  IF(OR(AA19="N/A", AA19=""),
    "N/A",
    IF(OR(
      AA19 &lt; IF(Config!$C$4=1,Config!$C$34,
        IF(Config!$C$4=2,Config!$D$34,
          IF(Config!$C$4=3,Config!$E$34,
            IF(Config!$C$4=4,Config!$F$34,
              IF(Config!$C$4=5,Config!$G$34,
                IF(Config!$C$4=6,Config!$H$34,Config!$I$34)
              )
            )
          )
        )
      ),
      AA19 &gt; IF(Config!$C$4=1,Config!$C$35,
        IF(Config!$C$4=2,Config!$D$35,
          IF(Config!$C$4=3,Config!$E$35,
            IF(Config!$C$4=4,Config!$F$35,
              IF(Config!$C$4=5,Config!$G$35,
                IF(Config!$C$4=6,Config!$H$35,Config!$I$35)
              )
            )
          )
        )
      )
    ),
    "⚠ OUT OF RANGE",
    "OK"
    )
  )
)</f>
        <v>⚠ OUT OF RANGE</v>
      </c>
      <c r="AI19" s="96" t="str">
        <f>IF(I19="","",
  IF(OR(AB19="N/A", AB19=""),
    "N/A",
    IF(OR(
      AB19 &lt; IF(Config!$C$4=1,Config!$C$36,
        IF(Config!$C$4=2,Config!$D$36,
          IF(Config!$C$4=3,Config!$E$36,
            IF(Config!$C$4=4,Config!$F$36,
              IF(Config!$C$4=5,Config!$G$36,
                IF(Config!$C$4=6,Config!$H$36,Config!$I$36)
              )
            )
          )
        )
      ),
      AB19 &gt; IF(Config!$C$4=1,Config!$C$37,
        IF(Config!$C$4=2,Config!$D$37,
          IF(Config!$C$4=3,Config!$E$37,
            IF(Config!$C$4=4,Config!$F$37,
              IF(Config!$C$4=5,Config!$G$37,
                IF(Config!$C$4=6,Config!$H$37,Config!$I$37)
              )
            )
          )
        )
      )
    ),
    "⚠ OUT OF RANGE",
    "OK"
    )
  )
)</f>
        <v>OK</v>
      </c>
    </row>
    <row r="20" spans="1:35" ht="18" customHeight="1" x14ac:dyDescent="0.25">
      <c r="A20" s="43"/>
      <c r="B20" s="47">
        <v>16</v>
      </c>
      <c r="C20" s="71" t="s">
        <v>303</v>
      </c>
      <c r="D20" s="64">
        <v>102.6567</v>
      </c>
      <c r="E20" s="64">
        <v>-53.5717</v>
      </c>
      <c r="F20" s="64">
        <v>72.086299999999994</v>
      </c>
      <c r="G20" s="64">
        <v>0.26726119999999998</v>
      </c>
      <c r="H20" s="64">
        <v>-0.26726119999999998</v>
      </c>
      <c r="I20" s="64">
        <v>0.92582010000000003</v>
      </c>
      <c r="J20" s="47"/>
      <c r="K20" s="79">
        <f>IF(
    I20="",
    "",
    IF(
        Config!$C$4&lt;=2,
        IF(
            AND(G20=0,H20=0),
            0,
            IF(
                H20&gt;=0,
                DEGREES(ACOS(I20)),
                -DEGREES(ACOS(I20))
            )
        ),
        IF(
            Config!$C$4=3,
            IF(
                AND(G20=0,H20=0),
                0,
                IF(
                    G20&gt;=0,
                    DEGREES(ACOS(I20)),
                    -DEGREES(ACOS(I20))
                )
            ),
            IF(
                Config!$C$4=4,
                IF(
                    AND(G20=0,H20=0),
                    0,
                    DEGREES(ATAN2(I20,G20))
                ),
                IF(
                    Config!$C$4=5,
                    IF(
                        AND(G20=0,H20=0),
                        0,
                        DEGREES(ACOS(I20))
                    ),
                    IF(
                        Config!$C$4=6,
                        IF(
                            AND(G20=0,H20=0),
                            0,
                            IF(
                                G20&gt;=0,
                                DEGREES(ACOS(2*I20-1)),
                                -DEGREES(ACOS(2*I20-1))
                            )
                        ),
                        IF(
                            AND(G20=0,H20=0),
                            0,
                            IF(
                                ((G20*Config!$C$16-H20*Config!$C$15))&lt;=0,
                                DEGREES(
                                    ACOS(
                                        MAX(
                                            -1,
                                            MIN(
                                                1,
                                                (I20-Config!$C$20)/Config!$C$21
                                            )
                                        )
                                    )
                                ),
                                -DEGREES(
                                    ACOS(
                                        MAX(
                                            -1,
                                            MIN(
                                                1,
                                                (I20-Config!$C$20)/Config!$C$21
                                            )
                                        )
                                    )
                                )
                            )
                        )
                    )
                )
            )
        )
    )
)</f>
        <v>-22.207654264117462</v>
      </c>
      <c r="L20" s="79">
        <f>IF(
    I20="",
    "",
    IF(
        Config!$C$4&lt;=2,
        IF(
            AND(G20=0,H20=0),
            0,
            DEGREES(ATAN2(H20,G20))
        ),
        IF(
            Config!$C$4=3,
            IF(
                AND(G20=0,H20=0),
                0,
                DEGREES(ATAN2(G20,-H20))
            ),
            IF(
                Config!$C$4=4,
                0,
                IF(
                    Config!$C$4=5,
                    IF(
                        AND(G20=0,H20=0),
                        0,
                        DEGREES(ATAN2(H20,G20))
                    ),
                    IF(
                        Config!$C$4=6,
                        IF(
                            AND(G20=0,H20=0),
                            0,
                            DEGREES(ATAN2(H20,G20))
                        ),
                        0
                    )
                )
            )
        )
    )
)</f>
        <v>135</v>
      </c>
      <c r="M20" s="47"/>
      <c r="N20" s="79">
        <f>IF(I20="","",
  IF(Config!$C$51=1, D20,
    IF(U20&lt;=2,
      (D20 - V20)*COS(RADIANS(L20)) + (E20 - W20)*SIN(RADIANS(L20)) + V20,
      IF(U20=3,
        ((D20 - V20)*COS(RADIANS(L20)) + (E20 - W20)*SIN(RADIANS(L20)))*COS(RADIANS(K20))
        + (F20 - X20)*SIN(RADIANS(K20)) + V20,
        IF(U20=4,
          (D20*COS(RADIANS(L20)) + E20*SIN(RADIANS(L20)) + V20) + Y20*SIN(RADIANS(K20)),
          IF(U20=5,
            D20 + Y20*SIN(RADIANS(K20))*COS(RADIANS(L20)),
            IF(U20=6,
              (D20*COS(RADIANS(L20)) + E20*SIN(RADIANS(L20)) + V20)
              + Y20*SIN(RADIANS(K20))*SIN(RADIANS(Config!$H$18)),
              COS(RADIANS(K20)) * (((D20 - V20)*COS(RADIANS(L20)) + (E20 - W20)*SIN(RADIANS(L20))))
              + SIN(RADIANS(K20)) * (
                Config!$C$16*(F20 - X20)
                - Config!$C$17*(-(D20 - V20)*SIN(RADIANS(L20)) + (E20 - W20)*COS(RADIANS(L20)))
              )
              + (1 - COS(RADIANS(K20))) * (
                ((D20 - V20)*COS(RADIANS(L20)) + (E20 - W20)*SIN(RADIANS(L20)))*Config!$C$15
                + (-(D20 - V20)*SIN(RADIANS(L20)) + (E20 - W20)*COS(RADIANS(L20)))*Config!$C$16
                + (F20 - X20)*Config!$C$17
              ) * Config!$C$15
              + V20
            )
          )
        )
      )
    )
  )
)</f>
        <v>-110.47016105392441</v>
      </c>
      <c r="O20" s="79">
        <f>IF(I20="","",
  IF(Config!$C$51=1, E20,
    IF(U20 &lt;= 2,
      (-(D20 - V20) * SIN(RADIANS(L20)) + (E20 - W20) * COS(RADIANS(L20))) * COS(RADIANS(K20))
      + (F20 - X20) * SIN(RADIANS(K20))
      + W20,
      IF(U20 = 3,
        (-(D20 - V20) * SIN(RADIANS(L20)) + (E20 - W20) * COS(RADIANS(L20)))
        + W20,
        IF(U20 = 4,
          -(D20) * SIN(RADIANS(L20)) + (E20) * COS(RADIANS(L20))
          + W20,
          IF(U20 = 5,
            E20 + Y20 * SIN(RADIANS(K20)) * SIN(RADIANS(L20)),
            IF(U20 = 6,
              (-(D20) * SIN(RADIANS(L20)) + (E20) * COS(RADIANS(L20)) + W20)
              + Y20 * (1 - COS(RADIANS(K20))) * SIN(RADIANS(Config!$H$18)) * COS(RADIANS(Config!$H$18)),
              COS(RADIANS(K20)) * (-(D20 - V20) * SIN(RADIANS(L20)) + (E20 - W20) * COS(RADIANS(L20)))
              + SIN(RADIANS(K20)) * (
                Config!$C$17 * ((D20 - V20) * COS(RADIANS(L20)) + (E20 - W20) * SIN(RADIANS(L20)))
                - Config!$C$15 * (F20 - X20)
              )
              + (1 - COS(RADIANS(K20))) * (
                ((D20 - V20) * COS(RADIANS(L20)) + (E20 - W20) * SIN(RADIANS(L20))) * Config!$C$15
                + (-(D20 - V20) * SIN(RADIANS(L20)) + (E20 - W20) * COS(RADIANS(L20))) * Config!$C$16
                + (F20 - X20) * Config!$C$17
              ) * Config!$C$16
              + W20
            )
          )
        )
      )
    )
  )
)</f>
        <v>-59.379735785118825</v>
      </c>
      <c r="P20" s="79">
        <f>IF(I20="","",
  IF(Config!$C$51=1, F20,
    IF(U20 &lt;= 2,
      -((-(D20 - V20) * SIN(RADIANS(L20)) + (E20 - W20) * COS(RADIANS(L20)))) * SIN(RADIANS(K20))
      + (F20 - X20) * COS(RADIANS(K20))
      + X20,
      IF(U20 = 3,
        -(((D20 - V20) * COS(RADIANS(L20)) + (E20 - W20) * SIN(RADIANS(L20)))) * SIN(RADIANS(K20))
        + (F20 - X20) * COS(RADIANS(K20))
        + X20,
        IF(U20 = 4,
          (F20 + X20) - Y20 * (1 - COS(RADIANS(K20))),
          IF(U20 = 5,
            F20 - Y20 * (1 - COS(RADIANS(K20))),
            IF(U20 = 6,
              (F20 + X20) - Y20 * SIN(RADIANS(Config!$H$18)) * SIN(RADIANS(Config!$H$18)) * (1 - COS(RADIANS(K20))),
              COS(RADIANS(K20)) * (F20 - X20)
              + SIN(RADIANS(K20)) * (
                Config!$C$15 * (-(D20 - V20) * SIN(RADIANS(L20)) + (E20 - W20) * COS(RADIANS(L20)))
                - Config!$C$16 * ((D20 - V20) * COS(RADIANS(L20)) + (E20 - W20) * SIN(RADIANS(L20)))
              )
              + (1 - COS(RADIANS(K20))) * (
                ((D20 - V20) * COS(RADIANS(L20)) + (E20 - W20) * SIN(RADIANS(L20))) * Config!$C$15
                + (-(D20 - V20) * SIN(RADIANS(L20)) + (E20 - W20) * COS(RADIANS(L20))) * Config!$C$16
                + (F20 - X20) * Config!$C$17
              ) * Config!$C$17
              + X20
            )
          )
        )
      )
    )
  )
)</f>
        <v>53.620427434695813</v>
      </c>
      <c r="Q20" s="47"/>
      <c r="R20" s="95" t="str">
        <f>IF(I20="","",
  IF(OR(
    K20 &lt; IF(Config!$C$4=1,Config!$C$34,
      IF(Config!$C$4=2,Config!$D$34,
        IF(Config!$C$4=3,Config!$E$34,
          IF(Config!$C$4=4,Config!$F$34,
            IF(Config!$C$4=5,Config!$G$34,
              IF(Config!$C$4=6,Config!$H$34,Config!$I$34)
            )
          )
        )
      )
    ),
    K20 &gt; IF(Config!$C$4=1,Config!$C$35,
      IF(Config!$C$4=2,Config!$D$35,
        IF(Config!$C$4=3,Config!$E$35,
          IF(Config!$C$4=4,Config!$F$35,
            IF(Config!$C$4=5,Config!$G$35,
              IF(Config!$C$4=6,Config!$H$35,Config!$I$35)
            )
          )
        )
      )
    )
  ),
    "⚠ OUT OF RANGE",
    "OK"
  )
)</f>
        <v>OK</v>
      </c>
      <c r="S20" s="95" t="str">
        <f>IF(I20="","",
  IF(OR(
    L20 &lt; IF(Config!$C$4=1,Config!$C$36,
      IF(Config!$C$4=2,Config!$D$36,
        IF(Config!$C$4=3,Config!$E$36,
          IF(Config!$C$4=4,Config!$F$36,
            IF(Config!$C$4=5,Config!$G$36,
              IF(Config!$C$4=6,Config!$H$36,Config!$I$36)
            )
          )
        )
      )
    ),
    L20 &gt; IF(Config!$C$4=1,Config!$C$37,
      IF(Config!$C$4=2,Config!$D$37,
        IF(Config!$C$4=3,Config!$E$37,
          IF(Config!$C$4=4,Config!$F$37,
            IF(Config!$C$4=5,Config!$G$37,
              IF(Config!$C$4=6,Config!$H$37,Config!$I$37)
            )
          )
        )
      )
    )
  ),
    "⚠ OUT OF RANGE",
    "OK"
  )
)</f>
        <v>OK</v>
      </c>
      <c r="T20" s="47"/>
      <c r="U20" s="79">
        <f>Config!$C$4</f>
        <v>1</v>
      </c>
      <c r="V20" s="79">
        <f>IF(U20=1, Config!$C$27,
  IF(U20=2, Config!$D$27,
    IF(U20=3, Config!$E$27,
      IF(U20=4, Config!$F$27,
        IF(U20=5, Config!$G$27,
          IF(U20=6, Config!$H$27,
            Config!$I$27
          )
        )
      )
    )
  )
)</f>
        <v>0</v>
      </c>
      <c r="W20" s="79">
        <f>IF(U20=1, Config!$C$28,
  IF(U20=2, Config!$D$28,
    IF(U20=3, Config!$E$28,
      IF(U20=4, Config!$F$28,
        IF(U20=5, Config!$G$28,
          IF(U20=6, Config!$H$28,
            Config!$I$28
          )
        )
      )
    )
  )
)</f>
        <v>0</v>
      </c>
      <c r="X20" s="79">
        <f>IF(U20=1, Config!$C$29,
  IF(U20=2, Config!$D$29,
    IF(U20=3, Config!$E$29,
      IF(U20=4, Config!$F$29,
        IF(U20=5, Config!$G$29,
          IF(U20=6, Config!$H$29,
            Config!$I$29
          )
        )
      )
    )
  )
)</f>
        <v>0</v>
      </c>
      <c r="Y20" s="79">
        <f>IF(U20=1, Config!$C$30,
  IF(U20=2, Config!$D$30,
    IF(U20=3, Config!$E$30,
      IF(U20=4, Config!$F$30,
        IF(U20=5, Config!$G$30,
          IF(U20=6, Config!$H$30,
            Config!$I$30
          )
        )
      )
    )
  )
)</f>
        <v>0</v>
      </c>
      <c r="AA20" s="79">
        <f t="shared" si="0"/>
        <v>22.207654264117462</v>
      </c>
      <c r="AB20" s="79">
        <f t="shared" si="1"/>
        <v>-45</v>
      </c>
      <c r="AC20" s="72"/>
      <c r="AD20" s="79">
        <f>IF(I20="","",
  IF(Config!$C$51=1, D20,
    IF(U20&lt;=2,
      (D20 - V20)*COS(RADIANS(AB20)) + (E20 - W20)*SIN(RADIANS(AB20)) + V20,
      IF(U20=3,
        ((D20 - V20)*COS(RADIANS(AB20)) + (E20 - W20)*SIN(RADIANS(AB20)))*COS(RADIANS(AA20))
        + (F20 - X20)*SIN(RADIANS(AA20)) + V20,
        IF(U20=4,
          (D20*COS(RADIANS(AB20)) + E20*SIN(RADIANS(AB20)) + V20) + Y20*SIN(RADIANS(AA20)),
          IF(U20=5,
            D20 + Y20*SIN(RADIANS(AA20))*COS(RADIANS(AB20)),
            IF(U20=6,
              (D20*COS(RADIANS(AB20)) + E20*SIN(RADIANS(AB20)) + V20)
              + Y20*SIN(RADIANS(AA20))*SIN(RADIANS(Config!$H$18)),
              COS(RADIANS(AA20)) * (((D20 - V20)*COS(RADIANS(AB20)) + (E20 - W20)*SIN(RADIANS(AB20))))
              + SIN(RADIANS(AA20)) * (
                Config!$C$16*(F20 - X20)
                - Config!$C$17*(-(D20 - V20)*SIN(RADIANS(AB20)) + (E20 - W20)*COS(RADIANS(AB20)))
              )
              + (1 - COS(RADIANS(AA20))) * (
                ((D20 - V20)*COS(RADIANS(AB20)) + (E20 - W20)*SIN(RADIANS(AB20)))*Config!$C$15
                + (-(D20 - V20)*SIN(RADIANS(AB20)) + (E20 - W20)*COS(RADIANS(AB20)))*Config!$C$16
                + (F20 - X20)*Config!$C$17
              ) * Config!$C$15
              + V20
            )
          )
        )
      )
    )
  )
)</f>
        <v>110.47016105392441</v>
      </c>
      <c r="AE20" s="79">
        <f>IF(I20="","",
  IF(Config!$C$51=1, E20,
    IF(U20 &lt;= 2,
      (-(D20 - V20) * SIN(RADIANS(AB20)) + (E20 - W20) * COS(RADIANS(AB20))) * COS(RADIANS(AA20))
      + (F20 - X20) * SIN(RADIANS(AA20))
      + W20,
      IF(U20 = 3,
        (-(D20 - V20) * SIN(RADIANS(AB20)) + (E20 - W20) * COS(RADIANS(AB20)))
        + W20,
        IF(U20 = 4,
          -(D20) * SIN(RADIANS(AB20)) + (E20) * COS(RADIANS(AB20))
          + W20,
          IF(U20 = 5,
            E20 + Y20 * SIN(RADIANS(AA20)) * SIN(RADIANS(AB20)),
            IF(U20 = 6,
              (-(D20) * SIN(RADIANS(AB20)) + (E20) * COS(RADIANS(AB20)) + W20)
              + Y20 * (1 - COS(RADIANS(AA20))) * SIN(RADIANS(Config!$H$18)) * COS(RADIANS(Config!$H$18)),
              COS(RADIANS(AA20)) * (-(D20 - V20) * SIN(RADIANS(AB20)) + (E20 - W20) * COS(RADIANS(AB20)))
              + SIN(RADIANS(AA20)) * (
                Config!$C$17 * ((D20 - V20) * COS(RADIANS(AB20)) + (E20 - W20) * SIN(RADIANS(AB20)))
                - Config!$C$15 * (F20 - X20)
              )
              + (1 - COS(RADIANS(AA20))) * (
                ((D20 - V20) * COS(RADIANS(AB20)) + (E20 - W20) * SIN(RADIANS(AB20))) * Config!$C$15
                + (-(D20 - V20) * SIN(RADIANS(AB20)) + (E20 - W20) * COS(RADIANS(AB20))) * Config!$C$16
                + (F20 - X20) * Config!$C$17
              ) * Config!$C$16
              + W20
            )
          )
        )
      )
    )
  )
)</f>
        <v>59.379735785118797</v>
      </c>
      <c r="AF20" s="79">
        <f>IF(I20="","",
  IF(Config!$C$51=1, F20,
    IF(U20 &lt;= 2,
      -((-(D20 - V20) * SIN(RADIANS(AB20)) + (E20 - W20) * COS(RADIANS(AB20)))) * SIN(RADIANS(AA20))
      + (F20 - X20) * COS(RADIANS(AA20))
      + X20,
      IF(U20 = 3,
        -(((D20 - V20) * COS(RADIANS(AB20)) + (E20 - W20) * SIN(RADIANS(AB20)))) * SIN(RADIANS(AA20))
        + (F20 - X20) * COS(RADIANS(AA20))
        + X20,
        IF(U20 = 4,
          (F20 + X20) - Y20 * (1 - COS(RADIANS(AA20))),
          IF(U20 = 5,
            F20 - Y20 * (1 - COS(RADIANS(AA20))),
            IF(U20 = 6,
              (F20 + X20) - Y20 * SIN(RADIANS(Config!$H$18)) * SIN(RADIANS(Config!$H$18)) * (1 - COS(RADIANS(AA20))),
              COS(RADIANS(AA20)) * (F20 - X20)
              + SIN(RADIANS(AA20)) * (
                Config!$C$15 * (-(D20 - V20) * SIN(RADIANS(AB20)) + (E20 - W20) * COS(RADIANS(AB20)))
                - Config!$C$16 * ((D20 - V20) * COS(RADIANS(AB20)) + (E20 - W20) * SIN(RADIANS(AB20)))
              )
              + (1 - COS(RADIANS(AA20))) * (
                ((D20 - V20) * COS(RADIANS(AB20)) + (E20 - W20) * SIN(RADIANS(AB20))) * Config!$C$15
                + (-(D20 - V20) * SIN(RADIANS(AB20)) + (E20 - W20) * COS(RADIANS(AB20))) * Config!$C$16
                + (F20 - X20) * Config!$C$17
              ) * Config!$C$17
              + X20
            )
          )
        )
      )
    )
  )
)</f>
        <v>53.620427434695813</v>
      </c>
      <c r="AG20" s="72"/>
      <c r="AH20" s="96" t="str">
        <f>IF(I20="","",
  IF(OR(AA20="N/A", AA20=""),
    "N/A",
    IF(OR(
      AA20 &lt; IF(Config!$C$4=1,Config!$C$34,
        IF(Config!$C$4=2,Config!$D$34,
          IF(Config!$C$4=3,Config!$E$34,
            IF(Config!$C$4=4,Config!$F$34,
              IF(Config!$C$4=5,Config!$G$34,
                IF(Config!$C$4=6,Config!$H$34,Config!$I$34)
              )
            )
          )
        )
      ),
      AA20 &gt; IF(Config!$C$4=1,Config!$C$35,
        IF(Config!$C$4=2,Config!$D$35,
          IF(Config!$C$4=3,Config!$E$35,
            IF(Config!$C$4=4,Config!$F$35,
              IF(Config!$C$4=5,Config!$G$35,
                IF(Config!$C$4=6,Config!$H$35,Config!$I$35)
              )
            )
          )
        )
      )
    ),
    "⚠ OUT OF RANGE",
    "OK"
    )
  )
)</f>
        <v>OK</v>
      </c>
      <c r="AI20" s="96" t="str">
        <f>IF(I20="","",
  IF(OR(AB20="N/A", AB20=""),
    "N/A",
    IF(OR(
      AB20 &lt; IF(Config!$C$4=1,Config!$C$36,
        IF(Config!$C$4=2,Config!$D$36,
          IF(Config!$C$4=3,Config!$E$36,
            IF(Config!$C$4=4,Config!$F$36,
              IF(Config!$C$4=5,Config!$G$36,
                IF(Config!$C$4=6,Config!$H$36,Config!$I$36)
              )
            )
          )
        )
      ),
      AB20 &gt; IF(Config!$C$4=1,Config!$C$37,
        IF(Config!$C$4=2,Config!$D$37,
          IF(Config!$C$4=3,Config!$E$37,
            IF(Config!$C$4=4,Config!$F$37,
              IF(Config!$C$4=5,Config!$G$37,
                IF(Config!$C$4=6,Config!$H$37,Config!$I$37)
              )
            )
          )
        )
      )
    ),
    "⚠ OUT OF RANGE",
    "OK"
    )
  )
)</f>
        <v>OK</v>
      </c>
    </row>
    <row r="21" spans="1:35" ht="18" customHeight="1" x14ac:dyDescent="0.25">
      <c r="A21" s="43"/>
      <c r="B21" s="47">
        <v>17</v>
      </c>
      <c r="C21" s="71" t="s">
        <v>304</v>
      </c>
      <c r="D21" s="64">
        <v>85.289699999999996</v>
      </c>
      <c r="E21" s="64">
        <v>-59.542499999999997</v>
      </c>
      <c r="F21" s="64">
        <v>79.312299999999993</v>
      </c>
      <c r="G21" s="64">
        <v>0.5</v>
      </c>
      <c r="H21" s="64">
        <v>0</v>
      </c>
      <c r="I21" s="64">
        <v>0.86602539999999995</v>
      </c>
      <c r="J21" s="47"/>
      <c r="K21" s="79">
        <f>IF(
    I21="",
    "",
    IF(
        Config!$C$4&lt;=2,
        IF(
            AND(G21=0,H21=0),
            0,
            IF(
                H21&gt;=0,
                DEGREES(ACOS(I21)),
                -DEGREES(ACOS(I21))
            )
        ),
        IF(
            Config!$C$4=3,
            IF(
                AND(G21=0,H21=0),
                0,
                IF(
                    G21&gt;=0,
                    DEGREES(ACOS(I21)),
                    -DEGREES(ACOS(I21))
                )
            ),
            IF(
                Config!$C$4=4,
                IF(
                    AND(G21=0,H21=0),
                    0,
                    DEGREES(ATAN2(I21,G21))
                ),
                IF(
                    Config!$C$4=5,
                    IF(
                        AND(G21=0,H21=0),
                        0,
                        DEGREES(ACOS(I21))
                    ),
                    IF(
                        Config!$C$4=6,
                        IF(
                            AND(G21=0,H21=0),
                            0,
                            IF(
                                G21&gt;=0,
                                DEGREES(ACOS(2*I21-1)),
                                -DEGREES(ACOS(2*I21-1))
                            )
                        ),
                        IF(
                            AND(G21=0,H21=0),
                            0,
                            IF(
                                ((G21*Config!$C$16-H21*Config!$C$15))&lt;=0,
                                DEGREES(
                                    ACOS(
                                        MAX(
                                            -1,
                                            MIN(
                                                1,
                                                (I21-Config!$C$20)/Config!$C$21
                                            )
                                        )
                                    )
                                ),
                                -DEGREES(
                                    ACOS(
                                        MAX(
                                            -1,
                                            MIN(
                                                1,
                                                (I21-Config!$C$20)/Config!$C$21
                                            )
                                        )
                                    )
                                )
                            )
                        )
                    )
                )
            )
        )
    )
)</f>
        <v>30.000000433664731</v>
      </c>
      <c r="L21" s="79">
        <f>IF(
    I21="",
    "",
    IF(
        Config!$C$4&lt;=2,
        IF(
            AND(G21=0,H21=0),
            0,
            DEGREES(ATAN2(H21,G21))
        ),
        IF(
            Config!$C$4=3,
            IF(
                AND(G21=0,H21=0),
                0,
                DEGREES(ATAN2(G21,-H21))
            ),
            IF(
                Config!$C$4=4,
                0,
                IF(
                    Config!$C$4=5,
                    IF(
                        AND(G21=0,H21=0),
                        0,
                        DEGREES(ATAN2(H21,G21))
                    ),
                    IF(
                        Config!$C$4=6,
                        IF(
                            AND(G21=0,H21=0),
                            0,
                            DEGREES(ATAN2(H21,G21))
                        ),
                        0
                    )
                )
            )
        )
    )
)</f>
        <v>90</v>
      </c>
      <c r="M21" s="47"/>
      <c r="N21" s="79">
        <f>IF(I21="","",
  IF(Config!$C$51=1, D21,
    IF(U21&lt;=2,
      (D21 - V21)*COS(RADIANS(L21)) + (E21 - W21)*SIN(RADIANS(L21)) + V21,
      IF(U21=3,
        ((D21 - V21)*COS(RADIANS(L21)) + (E21 - W21)*SIN(RADIANS(L21)))*COS(RADIANS(K21))
        + (F21 - X21)*SIN(RADIANS(K21)) + V21,
        IF(U21=4,
          (D21*COS(RADIANS(L21)) + E21*SIN(RADIANS(L21)) + V21) + Y21*SIN(RADIANS(K21)),
          IF(U21=5,
            D21 + Y21*SIN(RADIANS(K21))*COS(RADIANS(L21)),
            IF(U21=6,
              (D21*COS(RADIANS(L21)) + E21*SIN(RADIANS(L21)) + V21)
              + Y21*SIN(RADIANS(K21))*SIN(RADIANS(Config!$H$18)),
              COS(RADIANS(K21)) * (((D21 - V21)*COS(RADIANS(L21)) + (E21 - W21)*SIN(RADIANS(L21))))
              + SIN(RADIANS(K21)) * (
                Config!$C$16*(F21 - X21)
                - Config!$C$17*(-(D21 - V21)*SIN(RADIANS(L21)) + (E21 - W21)*COS(RADIANS(L21)))
              )
              + (1 - COS(RADIANS(K21))) * (
                ((D21 - V21)*COS(RADIANS(L21)) + (E21 - W21)*SIN(RADIANS(L21)))*Config!$C$15
                + (-(D21 - V21)*SIN(RADIANS(L21)) + (E21 - W21)*COS(RADIANS(L21)))*Config!$C$16
                + (F21 - X21)*Config!$C$17
              ) * Config!$C$15
              + V21
            )
          )
        )
      )
    )
  )
)</f>
        <v>-59.54249999999999</v>
      </c>
      <c r="O21" s="79">
        <f>IF(I21="","",
  IF(Config!$C$51=1, E21,
    IF(U21 &lt;= 2,
      (-(D21 - V21) * SIN(RADIANS(L21)) + (E21 - W21) * COS(RADIANS(L21))) * COS(RADIANS(K21))
      + (F21 - X21) * SIN(RADIANS(K21))
      + W21,
      IF(U21 = 3,
        (-(D21 - V21) * SIN(RADIANS(L21)) + (E21 - W21) * COS(RADIANS(L21)))
        + W21,
        IF(U21 = 4,
          -(D21) * SIN(RADIANS(L21)) + (E21) * COS(RADIANS(L21))
          + W21,
          IF(U21 = 5,
            E21 + Y21 * SIN(RADIANS(K21)) * SIN(RADIANS(L21)),
            IF(U21 = 6,
              (-(D21) * SIN(RADIANS(L21)) + (E21) * COS(RADIANS(L21)) + W21)
              + Y21 * (1 - COS(RADIANS(K21))) * SIN(RADIANS(Config!$H$18)) * COS(RADIANS(Config!$H$18)),
              COS(RADIANS(K21)) * (-(D21 - V21) * SIN(RADIANS(L21)) + (E21 - W21) * COS(RADIANS(L21)))
              + SIN(RADIANS(K21)) * (
                Config!$C$17 * ((D21 - V21) * COS(RADIANS(L21)) + (E21 - W21) * SIN(RADIANS(L21)))
                - Config!$C$15 * (F21 - X21)
              )
              + (1 - COS(RADIANS(K21))) * (
                ((D21 - V21) * COS(RADIANS(L21)) + (E21 - W21) * SIN(RADIANS(L21))) * Config!$C$15
                + (-(D21 - V21) * SIN(RADIANS(L21)) + (E21 - W21) * COS(RADIANS(L21))) * Config!$C$16
                + (F21 - X21) * Config!$C$17
              ) * Config!$C$16
              + W21
            )
          )
        )
      )
    )
  )
)</f>
        <v>-34.20689603850056</v>
      </c>
      <c r="P21" s="79">
        <f>IF(I21="","",
  IF(Config!$C$51=1, F21,
    IF(U21 &lt;= 2,
      -((-(D21 - V21) * SIN(RADIANS(L21)) + (E21 - W21) * COS(RADIANS(L21)))) * SIN(RADIANS(K21))
      + (F21 - X21) * COS(RADIANS(K21))
      + X21,
      IF(U21 = 3,
        -(((D21 - V21) * COS(RADIANS(L21)) + (E21 - W21) * SIN(RADIANS(L21)))) * SIN(RADIANS(K21))
        + (F21 - X21) * COS(RADIANS(K21))
        + X21,
        IF(U21 = 4,
          (F21 + X21) - Y21 * (1 - COS(RADIANS(K21))),
          IF(U21 = 5,
            F21 - Y21 * (1 - COS(RADIANS(K21))),
            IF(U21 = 6,
              (F21 + X21) - Y21 * SIN(RADIANS(Config!$H$18)) * SIN(RADIANS(Config!$H$18)) * (1 - COS(RADIANS(K21))),
              COS(RADIANS(K21)) * (F21 - X21)
              + SIN(RADIANS(K21)) * (
                Config!$C$15 * (-(D21 - V21) * SIN(RADIANS(L21)) + (E21 - W21) * COS(RADIANS(L21)))
                - Config!$C$16 * ((D21 - V21) * COS(RADIANS(L21)) + (E21 - W21) * SIN(RADIANS(L21)))
              )
              + (1 - COS(RADIANS(K21))) * (
                ((D21 - V21) * COS(RADIANS(L21)) + (E21 - W21) * SIN(RADIANS(L21))) * Config!$C$15
                + (-(D21 - V21) * SIN(RADIANS(L21)) + (E21 - W21) * COS(RADIANS(L21))) * Config!$C$16
                + (F21 - X21) * Config!$C$17
              ) * Config!$C$17
              + X21
            )
          )
        )
      )
    )
  )
)</f>
        <v>111.33131689148033</v>
      </c>
      <c r="Q21" s="47"/>
      <c r="R21" s="95" t="str">
        <f>IF(I21="","",
  IF(OR(
    K21 &lt; IF(Config!$C$4=1,Config!$C$34,
      IF(Config!$C$4=2,Config!$D$34,
        IF(Config!$C$4=3,Config!$E$34,
          IF(Config!$C$4=4,Config!$F$34,
            IF(Config!$C$4=5,Config!$G$34,
              IF(Config!$C$4=6,Config!$H$34,Config!$I$34)
            )
          )
        )
      )
    ),
    K21 &gt; IF(Config!$C$4=1,Config!$C$35,
      IF(Config!$C$4=2,Config!$D$35,
        IF(Config!$C$4=3,Config!$E$35,
          IF(Config!$C$4=4,Config!$F$35,
            IF(Config!$C$4=5,Config!$G$35,
              IF(Config!$C$4=6,Config!$H$35,Config!$I$35)
            )
          )
        )
      )
    )
  ),
    "⚠ OUT OF RANGE",
    "OK"
  )
)</f>
        <v>⚠ OUT OF RANGE</v>
      </c>
      <c r="S21" s="95" t="str">
        <f>IF(I21="","",
  IF(OR(
    L21 &lt; IF(Config!$C$4=1,Config!$C$36,
      IF(Config!$C$4=2,Config!$D$36,
        IF(Config!$C$4=3,Config!$E$36,
          IF(Config!$C$4=4,Config!$F$36,
            IF(Config!$C$4=5,Config!$G$36,
              IF(Config!$C$4=6,Config!$H$36,Config!$I$36)
            )
          )
        )
      )
    ),
    L21 &gt; IF(Config!$C$4=1,Config!$C$37,
      IF(Config!$C$4=2,Config!$D$37,
        IF(Config!$C$4=3,Config!$E$37,
          IF(Config!$C$4=4,Config!$F$37,
            IF(Config!$C$4=5,Config!$G$37,
              IF(Config!$C$4=6,Config!$H$37,Config!$I$37)
            )
          )
        )
      )
    )
  ),
    "⚠ OUT OF RANGE",
    "OK"
  )
)</f>
        <v>OK</v>
      </c>
      <c r="T21" s="47"/>
      <c r="U21" s="79">
        <f>Config!$C$4</f>
        <v>1</v>
      </c>
      <c r="V21" s="79">
        <f>IF(U21=1, Config!$C$27,
  IF(U21=2, Config!$D$27,
    IF(U21=3, Config!$E$27,
      IF(U21=4, Config!$F$27,
        IF(U21=5, Config!$G$27,
          IF(U21=6, Config!$H$27,
            Config!$I$27
          )
        )
      )
    )
  )
)</f>
        <v>0</v>
      </c>
      <c r="W21" s="79">
        <f>IF(U21=1, Config!$C$28,
  IF(U21=2, Config!$D$28,
    IF(U21=3, Config!$E$28,
      IF(U21=4, Config!$F$28,
        IF(U21=5, Config!$G$28,
          IF(U21=6, Config!$H$28,
            Config!$I$28
          )
        )
      )
    )
  )
)</f>
        <v>0</v>
      </c>
      <c r="X21" s="79">
        <f>IF(U21=1, Config!$C$29,
  IF(U21=2, Config!$D$29,
    IF(U21=3, Config!$E$29,
      IF(U21=4, Config!$F$29,
        IF(U21=5, Config!$G$29,
          IF(U21=6, Config!$H$29,
            Config!$I$29
          )
        )
      )
    )
  )
)</f>
        <v>0</v>
      </c>
      <c r="Y21" s="79">
        <f>IF(U21=1, Config!$C$30,
  IF(U21=2, Config!$D$30,
    IF(U21=3, Config!$E$30,
      IF(U21=4, Config!$F$30,
        IF(U21=5, Config!$G$30,
          IF(U21=6, Config!$H$30,
            Config!$I$30
          )
        )
      )
    )
  )
)</f>
        <v>0</v>
      </c>
      <c r="AA21" s="79">
        <f t="shared" si="0"/>
        <v>-30.000000433664731</v>
      </c>
      <c r="AB21" s="79">
        <f t="shared" si="1"/>
        <v>-90</v>
      </c>
      <c r="AC21" s="72"/>
      <c r="AD21" s="79">
        <f>IF(I21="","",
  IF(Config!$C$51=1, D21,
    IF(U21&lt;=2,
      (D21 - V21)*COS(RADIANS(AB21)) + (E21 - W21)*SIN(RADIANS(AB21)) + V21,
      IF(U21=3,
        ((D21 - V21)*COS(RADIANS(AB21)) + (E21 - W21)*SIN(RADIANS(AB21)))*COS(RADIANS(AA21))
        + (F21 - X21)*SIN(RADIANS(AA21)) + V21,
        IF(U21=4,
          (D21*COS(RADIANS(AB21)) + E21*SIN(RADIANS(AB21)) + V21) + Y21*SIN(RADIANS(AA21)),
          IF(U21=5,
            D21 + Y21*SIN(RADIANS(AA21))*COS(RADIANS(AB21)),
            IF(U21=6,
              (D21*COS(RADIANS(AB21)) + E21*SIN(RADIANS(AB21)) + V21)
              + Y21*SIN(RADIANS(AA21))*SIN(RADIANS(Config!$H$18)),
              COS(RADIANS(AA21)) * (((D21 - V21)*COS(RADIANS(AB21)) + (E21 - W21)*SIN(RADIANS(AB21))))
              + SIN(RADIANS(AA21)) * (
                Config!$C$16*(F21 - X21)
                - Config!$C$17*(-(D21 - V21)*SIN(RADIANS(AB21)) + (E21 - W21)*COS(RADIANS(AB21)))
              )
              + (1 - COS(RADIANS(AA21))) * (
                ((D21 - V21)*COS(RADIANS(AB21)) + (E21 - W21)*SIN(RADIANS(AB21)))*Config!$C$15
                + (-(D21 - V21)*SIN(RADIANS(AB21)) + (E21 - W21)*COS(RADIANS(AB21)))*Config!$C$16
                + (F21 - X21)*Config!$C$17
              ) * Config!$C$15
              + V21
            )
          )
        )
      )
    )
  )
)</f>
        <v>59.542500000000004</v>
      </c>
      <c r="AE21" s="79">
        <f>IF(I21="","",
  IF(Config!$C$51=1, E21,
    IF(U21 &lt;= 2,
      (-(D21 - V21) * SIN(RADIANS(AB21)) + (E21 - W21) * COS(RADIANS(AB21))) * COS(RADIANS(AA21))
      + (F21 - X21) * SIN(RADIANS(AA21))
      + W21,
      IF(U21 = 3,
        (-(D21 - V21) * SIN(RADIANS(AB21)) + (E21 - W21) * COS(RADIANS(AB21)))
        + W21,
        IF(U21 = 4,
          -(D21) * SIN(RADIANS(AB21)) + (E21) * COS(RADIANS(AB21))
          + W21,
          IF(U21 = 5,
            E21 + Y21 * SIN(RADIANS(AA21)) * SIN(RADIANS(AB21)),
            IF(U21 = 6,
              (-(D21) * SIN(RADIANS(AB21)) + (E21) * COS(RADIANS(AB21)) + W21)
              + Y21 * (1 - COS(RADIANS(AA21))) * SIN(RADIANS(Config!$H$18)) * COS(RADIANS(Config!$H$18)),
              COS(RADIANS(AA21)) * (-(D21 - V21) * SIN(RADIANS(AB21)) + (E21 - W21) * COS(RADIANS(AB21)))
              + SIN(RADIANS(AA21)) * (
                Config!$C$17 * ((D21 - V21) * COS(RADIANS(AB21)) + (E21 - W21) * SIN(RADIANS(AB21)))
                - Config!$C$15 * (F21 - X21)
              )
              + (1 - COS(RADIANS(AA21))) * (
                ((D21 - V21) * COS(RADIANS(AB21)) + (E21 - W21) * SIN(RADIANS(AB21))) * Config!$C$15
                + (-(D21 - V21) * SIN(RADIANS(AB21)) + (E21 - W21) * COS(RADIANS(AB21))) * Config!$C$16
                + (F21 - X21) * Config!$C$17
              ) * Config!$C$16
              + W21
            )
          )
        )
      )
    )
  )
)</f>
        <v>34.20689603850056</v>
      </c>
      <c r="AF21" s="79">
        <f>IF(I21="","",
  IF(Config!$C$51=1, F21,
    IF(U21 &lt;= 2,
      -((-(D21 - V21) * SIN(RADIANS(AB21)) + (E21 - W21) * COS(RADIANS(AB21)))) * SIN(RADIANS(AA21))
      + (F21 - X21) * COS(RADIANS(AA21))
      + X21,
      IF(U21 = 3,
        -(((D21 - V21) * COS(RADIANS(AB21)) + (E21 - W21) * SIN(RADIANS(AB21)))) * SIN(RADIANS(AA21))
        + (F21 - X21) * COS(RADIANS(AA21))
        + X21,
        IF(U21 = 4,
          (F21 + X21) - Y21 * (1 - COS(RADIANS(AA21))),
          IF(U21 = 5,
            F21 - Y21 * (1 - COS(RADIANS(AA21))),
            IF(U21 = 6,
              (F21 + X21) - Y21 * SIN(RADIANS(Config!$H$18)) * SIN(RADIANS(Config!$H$18)) * (1 - COS(RADIANS(AA21))),
              COS(RADIANS(AA21)) * (F21 - X21)
              + SIN(RADIANS(AA21)) * (
                Config!$C$15 * (-(D21 - V21) * SIN(RADIANS(AB21)) + (E21 - W21) * COS(RADIANS(AB21)))
                - Config!$C$16 * ((D21 - V21) * COS(RADIANS(AB21)) + (E21 - W21) * SIN(RADIANS(AB21)))
              )
              + (1 - COS(RADIANS(AA21))) * (
                ((D21 - V21) * COS(RADIANS(AB21)) + (E21 - W21) * SIN(RADIANS(AB21))) * Config!$C$15
                + (-(D21 - V21) * SIN(RADIANS(AB21)) + (E21 - W21) * COS(RADIANS(AB21))) * Config!$C$16
                + (F21 - X21) * Config!$C$17
              ) * Config!$C$17
              + X21
            )
          )
        )
      )
    )
  )
)</f>
        <v>111.33131689148033</v>
      </c>
      <c r="AG21" s="72"/>
      <c r="AH21" s="96" t="str">
        <f>IF(I21="","",
  IF(OR(AA21="N/A", AA21=""),
    "N/A",
    IF(OR(
      AA21 &lt; IF(Config!$C$4=1,Config!$C$34,
        IF(Config!$C$4=2,Config!$D$34,
          IF(Config!$C$4=3,Config!$E$34,
            IF(Config!$C$4=4,Config!$F$34,
              IF(Config!$C$4=5,Config!$G$34,
                IF(Config!$C$4=6,Config!$H$34,Config!$I$34)
              )
            )
          )
        )
      ),
      AA21 &gt; IF(Config!$C$4=1,Config!$C$35,
        IF(Config!$C$4=2,Config!$D$35,
          IF(Config!$C$4=3,Config!$E$35,
            IF(Config!$C$4=4,Config!$F$35,
              IF(Config!$C$4=5,Config!$G$35,
                IF(Config!$C$4=6,Config!$H$35,Config!$I$35)
              )
            )
          )
        )
      )
    ),
    "⚠ OUT OF RANGE",
    "OK"
    )
  )
)</f>
        <v>OK</v>
      </c>
      <c r="AI21" s="96" t="str">
        <f>IF(I21="","",
  IF(OR(AB21="N/A", AB21=""),
    "N/A",
    IF(OR(
      AB21 &lt; IF(Config!$C$4=1,Config!$C$36,
        IF(Config!$C$4=2,Config!$D$36,
          IF(Config!$C$4=3,Config!$E$36,
            IF(Config!$C$4=4,Config!$F$36,
              IF(Config!$C$4=5,Config!$G$36,
                IF(Config!$C$4=6,Config!$H$36,Config!$I$36)
              )
            )
          )
        )
      ),
      AB21 &gt; IF(Config!$C$4=1,Config!$C$37,
        IF(Config!$C$4=2,Config!$D$37,
          IF(Config!$C$4=3,Config!$E$37,
            IF(Config!$C$4=4,Config!$F$37,
              IF(Config!$C$4=5,Config!$G$37,
                IF(Config!$C$4=6,Config!$H$37,Config!$I$37)
              )
            )
          )
        )
      )
    ),
    "⚠ OUT OF RANGE",
    "OK"
    )
  )
)</f>
        <v>OK</v>
      </c>
    </row>
    <row r="22" spans="1:35" ht="18" customHeight="1" x14ac:dyDescent="0.25">
      <c r="A22" s="43"/>
      <c r="B22" s="47">
        <v>18</v>
      </c>
      <c r="C22" s="71" t="s">
        <v>305</v>
      </c>
      <c r="D22" s="64">
        <v>53.5717</v>
      </c>
      <c r="E22" s="64">
        <v>102.6567</v>
      </c>
      <c r="F22" s="64">
        <v>72.086299999999994</v>
      </c>
      <c r="G22" s="64">
        <v>0.26726119999999998</v>
      </c>
      <c r="H22" s="64">
        <v>0.26726119999999998</v>
      </c>
      <c r="I22" s="64">
        <v>0.92582010000000003</v>
      </c>
      <c r="J22" s="47"/>
      <c r="K22" s="79">
        <f>IF(
    I22="",
    "",
    IF(
        Config!$C$4&lt;=2,
        IF(
            AND(G22=0,H22=0),
            0,
            IF(
                H22&gt;=0,
                DEGREES(ACOS(I22)),
                -DEGREES(ACOS(I22))
            )
        ),
        IF(
            Config!$C$4=3,
            IF(
                AND(G22=0,H22=0),
                0,
                IF(
                    G22&gt;=0,
                    DEGREES(ACOS(I22)),
                    -DEGREES(ACOS(I22))
                )
            ),
            IF(
                Config!$C$4=4,
                IF(
                    AND(G22=0,H22=0),
                    0,
                    DEGREES(ATAN2(I22,G22))
                ),
                IF(
                    Config!$C$4=5,
                    IF(
                        AND(G22=0,H22=0),
                        0,
                        DEGREES(ACOS(I22))
                    ),
                    IF(
                        Config!$C$4=6,
                        IF(
                            AND(G22=0,H22=0),
                            0,
                            IF(
                                G22&gt;=0,
                                DEGREES(ACOS(2*I22-1)),
                                -DEGREES(ACOS(2*I22-1))
                            )
                        ),
                        IF(
                            AND(G22=0,H22=0),
                            0,
                            IF(
                                ((G22*Config!$C$16-H22*Config!$C$15))&lt;=0,
                                DEGREES(
                                    ACOS(
                                        MAX(
                                            -1,
                                            MIN(
                                                1,
                                                (I22-Config!$C$20)/Config!$C$21
                                            )
                                        )
                                    )
                                ),
                                -DEGREES(
                                    ACOS(
                                        MAX(
                                            -1,
                                            MIN(
                                                1,
                                                (I22-Config!$C$20)/Config!$C$21
                                            )
                                        )
                                    )
                                )
                            )
                        )
                    )
                )
            )
        )
    )
)</f>
        <v>22.207654264117462</v>
      </c>
      <c r="L22" s="79">
        <f>IF(
    I22="",
    "",
    IF(
        Config!$C$4&lt;=2,
        IF(
            AND(G22=0,H22=0),
            0,
            DEGREES(ATAN2(H22,G22))
        ),
        IF(
            Config!$C$4=3,
            IF(
                AND(G22=0,H22=0),
                0,
                DEGREES(ATAN2(G22,-H22))
            ),
            IF(
                Config!$C$4=4,
                0,
                IF(
                    Config!$C$4=5,
                    IF(
                        AND(G22=0,H22=0),
                        0,
                        DEGREES(ATAN2(H22,G22))
                    ),
                    IF(
                        Config!$C$4=6,
                        IF(
                            AND(G22=0,H22=0),
                            0,
                            DEGREES(ATAN2(H22,G22))
                        ),
                        0
                    )
                )
            )
        )
    )
)</f>
        <v>45</v>
      </c>
      <c r="M22" s="47"/>
      <c r="N22" s="79">
        <f>IF(I22="","",
  IF(Config!$C$51=1, D22,
    IF(U22&lt;=2,
      (D22 - V22)*COS(RADIANS(L22)) + (E22 - W22)*SIN(RADIANS(L22)) + V22,
      IF(U22=3,
        ((D22 - V22)*COS(RADIANS(L22)) + (E22 - W22)*SIN(RADIANS(L22)))*COS(RADIANS(K22))
        + (F22 - X22)*SIN(RADIANS(K22)) + V22,
        IF(U22=4,
          (D22*COS(RADIANS(L22)) + E22*SIN(RADIANS(L22)) + V22) + Y22*SIN(RADIANS(K22)),
          IF(U22=5,
            D22 + Y22*SIN(RADIANS(K22))*COS(RADIANS(L22)),
            IF(U22=6,
              (D22*COS(RADIANS(L22)) + E22*SIN(RADIANS(L22)) + V22)
              + Y22*SIN(RADIANS(K22))*SIN(RADIANS(Config!$H$18)),
              COS(RADIANS(K22)) * (((D22 - V22)*COS(RADIANS(L22)) + (E22 - W22)*SIN(RADIANS(L22))))
              + SIN(RADIANS(K22)) * (
                Config!$C$16*(F22 - X22)
                - Config!$C$17*(-(D22 - V22)*SIN(RADIANS(L22)) + (E22 - W22)*COS(RADIANS(L22)))
              )
              + (1 - COS(RADIANS(K22))) * (
                ((D22 - V22)*COS(RADIANS(L22)) + (E22 - W22)*SIN(RADIANS(L22)))*Config!$C$15
                + (-(D22 - V22)*SIN(RADIANS(L22)) + (E22 - W22)*COS(RADIANS(L22)))*Config!$C$16
                + (F22 - X22)*Config!$C$17
              ) * Config!$C$15
              + V22
            )
          )
        )
      )
    )
  )
)</f>
        <v>110.47016105392441</v>
      </c>
      <c r="O22" s="79">
        <f>IF(I22="","",
  IF(Config!$C$51=1, E22,
    IF(U22 &lt;= 2,
      (-(D22 - V22) * SIN(RADIANS(L22)) + (E22 - W22) * COS(RADIANS(L22))) * COS(RADIANS(K22))
      + (F22 - X22) * SIN(RADIANS(K22))
      + W22,
      IF(U22 = 3,
        (-(D22 - V22) * SIN(RADIANS(L22)) + (E22 - W22) * COS(RADIANS(L22)))
        + W22,
        IF(U22 = 4,
          -(D22) * SIN(RADIANS(L22)) + (E22) * COS(RADIANS(L22))
          + W22,
          IF(U22 = 5,
            E22 + Y22 * SIN(RADIANS(K22)) * SIN(RADIANS(L22)),
            IF(U22 = 6,
              (-(D22) * SIN(RADIANS(L22)) + (E22) * COS(RADIANS(L22)) + W22)
              + Y22 * (1 - COS(RADIANS(K22))) * SIN(RADIANS(Config!$H$18)) * COS(RADIANS(Config!$H$18)),
              COS(RADIANS(K22)) * (-(D22 - V22) * SIN(RADIANS(L22)) + (E22 - W22) * COS(RADIANS(L22)))
              + SIN(RADIANS(K22)) * (
                Config!$C$17 * ((D22 - V22) * COS(RADIANS(L22)) + (E22 - W22) * SIN(RADIANS(L22)))
                - Config!$C$15 * (F22 - X22)
              )
              + (1 - COS(RADIANS(K22))) * (
                ((D22 - V22) * COS(RADIANS(L22)) + (E22 - W22) * SIN(RADIANS(L22))) * Config!$C$15
                + (-(D22 - V22) * SIN(RADIANS(L22)) + (E22 - W22) * COS(RADIANS(L22))) * Config!$C$16
                + (F22 - X22) * Config!$C$17
              ) * Config!$C$16
              + W22
            )
          )
        )
      )
    )
  )
)</f>
        <v>59.379735785118825</v>
      </c>
      <c r="P22" s="79">
        <f>IF(I22="","",
  IF(Config!$C$51=1, F22,
    IF(U22 &lt;= 2,
      -((-(D22 - V22) * SIN(RADIANS(L22)) + (E22 - W22) * COS(RADIANS(L22)))) * SIN(RADIANS(K22))
      + (F22 - X22) * COS(RADIANS(K22))
      + X22,
      IF(U22 = 3,
        -(((D22 - V22) * COS(RADIANS(L22)) + (E22 - W22) * SIN(RADIANS(L22)))) * SIN(RADIANS(K22))
        + (F22 - X22) * COS(RADIANS(K22))
        + X22,
        IF(U22 = 4,
          (F22 + X22) - Y22 * (1 - COS(RADIANS(K22))),
          IF(U22 = 5,
            F22 - Y22 * (1 - COS(RADIANS(K22))),
            IF(U22 = 6,
              (F22 + X22) - Y22 * SIN(RADIANS(Config!$H$18)) * SIN(RADIANS(Config!$H$18)) * (1 - COS(RADIANS(K22))),
              COS(RADIANS(K22)) * (F22 - X22)
              + SIN(RADIANS(K22)) * (
                Config!$C$15 * (-(D22 - V22) * SIN(RADIANS(L22)) + (E22 - W22) * COS(RADIANS(L22)))
                - Config!$C$16 * ((D22 - V22) * COS(RADIANS(L22)) + (E22 - W22) * SIN(RADIANS(L22)))
              )
              + (1 - COS(RADIANS(K22))) * (
                ((D22 - V22) * COS(RADIANS(L22)) + (E22 - W22) * SIN(RADIANS(L22))) * Config!$C$15
                + (-(D22 - V22) * SIN(RADIANS(L22)) + (E22 - W22) * COS(RADIANS(L22))) * Config!$C$16
                + (F22 - X22) * Config!$C$17
              ) * Config!$C$17
              + X22
            )
          )
        )
      )
    )
  )
)</f>
        <v>53.620427434695813</v>
      </c>
      <c r="Q22" s="47"/>
      <c r="R22" s="95" t="str">
        <f>IF(I22="","",
  IF(OR(
    K22 &lt; IF(Config!$C$4=1,Config!$C$34,
      IF(Config!$C$4=2,Config!$D$34,
        IF(Config!$C$4=3,Config!$E$34,
          IF(Config!$C$4=4,Config!$F$34,
            IF(Config!$C$4=5,Config!$G$34,
              IF(Config!$C$4=6,Config!$H$34,Config!$I$34)
            )
          )
        )
      )
    ),
    K22 &gt; IF(Config!$C$4=1,Config!$C$35,
      IF(Config!$C$4=2,Config!$D$35,
        IF(Config!$C$4=3,Config!$E$35,
          IF(Config!$C$4=4,Config!$F$35,
            IF(Config!$C$4=5,Config!$G$35,
              IF(Config!$C$4=6,Config!$H$35,Config!$I$35)
            )
          )
        )
      )
    )
  ),
    "⚠ OUT OF RANGE",
    "OK"
  )
)</f>
        <v>OK</v>
      </c>
      <c r="S22" s="95" t="str">
        <f>IF(I22="","",
  IF(OR(
    L22 &lt; IF(Config!$C$4=1,Config!$C$36,
      IF(Config!$C$4=2,Config!$D$36,
        IF(Config!$C$4=3,Config!$E$36,
          IF(Config!$C$4=4,Config!$F$36,
            IF(Config!$C$4=5,Config!$G$36,
              IF(Config!$C$4=6,Config!$H$36,Config!$I$36)
            )
          )
        )
      )
    ),
    L22 &gt; IF(Config!$C$4=1,Config!$C$37,
      IF(Config!$C$4=2,Config!$D$37,
        IF(Config!$C$4=3,Config!$E$37,
          IF(Config!$C$4=4,Config!$F$37,
            IF(Config!$C$4=5,Config!$G$37,
              IF(Config!$C$4=6,Config!$H$37,Config!$I$37)
            )
          )
        )
      )
    )
  ),
    "⚠ OUT OF RANGE",
    "OK"
  )
)</f>
        <v>OK</v>
      </c>
      <c r="T22" s="47"/>
      <c r="U22" s="79">
        <f>Config!$C$4</f>
        <v>1</v>
      </c>
      <c r="V22" s="79">
        <f>IF(U22=1, Config!$C$27,
  IF(U22=2, Config!$D$27,
    IF(U22=3, Config!$E$27,
      IF(U22=4, Config!$F$27,
        IF(U22=5, Config!$G$27,
          IF(U22=6, Config!$H$27,
            Config!$I$27
          )
        )
      )
    )
  )
)</f>
        <v>0</v>
      </c>
      <c r="W22" s="79">
        <f>IF(U22=1, Config!$C$28,
  IF(U22=2, Config!$D$28,
    IF(U22=3, Config!$E$28,
      IF(U22=4, Config!$F$28,
        IF(U22=5, Config!$G$28,
          IF(U22=6, Config!$H$28,
            Config!$I$28
          )
        )
      )
    )
  )
)</f>
        <v>0</v>
      </c>
      <c r="X22" s="79">
        <f>IF(U22=1, Config!$C$29,
  IF(U22=2, Config!$D$29,
    IF(U22=3, Config!$E$29,
      IF(U22=4, Config!$F$29,
        IF(U22=5, Config!$G$29,
          IF(U22=6, Config!$H$29,
            Config!$I$29
          )
        )
      )
    )
  )
)</f>
        <v>0</v>
      </c>
      <c r="Y22" s="79">
        <f>IF(U22=1, Config!$C$30,
  IF(U22=2, Config!$D$30,
    IF(U22=3, Config!$E$30,
      IF(U22=4, Config!$F$30,
        IF(U22=5, Config!$G$30,
          IF(U22=6, Config!$H$30,
            Config!$I$30
          )
        )
      )
    )
  )
)</f>
        <v>0</v>
      </c>
      <c r="AA22" s="79">
        <f t="shared" si="0"/>
        <v>-22.207654264117462</v>
      </c>
      <c r="AB22" s="79">
        <f t="shared" si="1"/>
        <v>-135</v>
      </c>
      <c r="AC22" s="72"/>
      <c r="AD22" s="79">
        <f>IF(I22="","",
  IF(Config!$C$51=1, D22,
    IF(U22&lt;=2,
      (D22 - V22)*COS(RADIANS(AB22)) + (E22 - W22)*SIN(RADIANS(AB22)) + V22,
      IF(U22=3,
        ((D22 - V22)*COS(RADIANS(AB22)) + (E22 - W22)*SIN(RADIANS(AB22)))*COS(RADIANS(AA22))
        + (F22 - X22)*SIN(RADIANS(AA22)) + V22,
        IF(U22=4,
          (D22*COS(RADIANS(AB22)) + E22*SIN(RADIANS(AB22)) + V22) + Y22*SIN(RADIANS(AA22)),
          IF(U22=5,
            D22 + Y22*SIN(RADIANS(AA22))*COS(RADIANS(AB22)),
            IF(U22=6,
              (D22*COS(RADIANS(AB22)) + E22*SIN(RADIANS(AB22)) + V22)
              + Y22*SIN(RADIANS(AA22))*SIN(RADIANS(Config!$H$18)),
              COS(RADIANS(AA22)) * (((D22 - V22)*COS(RADIANS(AB22)) + (E22 - W22)*SIN(RADIANS(AB22))))
              + SIN(RADIANS(AA22)) * (
                Config!$C$16*(F22 - X22)
                - Config!$C$17*(-(D22 - V22)*SIN(RADIANS(AB22)) + (E22 - W22)*COS(RADIANS(AB22)))
              )
              + (1 - COS(RADIANS(AA22))) * (
                ((D22 - V22)*COS(RADIANS(AB22)) + (E22 - W22)*SIN(RADIANS(AB22)))*Config!$C$15
                + (-(D22 - V22)*SIN(RADIANS(AB22)) + (E22 - W22)*COS(RADIANS(AB22)))*Config!$C$16
                + (F22 - X22)*Config!$C$17
              ) * Config!$C$15
              + V22
            )
          )
        )
      )
    )
  )
)</f>
        <v>-110.47016105392441</v>
      </c>
      <c r="AE22" s="79">
        <f>IF(I22="","",
  IF(Config!$C$51=1, E22,
    IF(U22 &lt;= 2,
      (-(D22 - V22) * SIN(RADIANS(AB22)) + (E22 - W22) * COS(RADIANS(AB22))) * COS(RADIANS(AA22))
      + (F22 - X22) * SIN(RADIANS(AA22))
      + W22,
      IF(U22 = 3,
        (-(D22 - V22) * SIN(RADIANS(AB22)) + (E22 - W22) * COS(RADIANS(AB22)))
        + W22,
        IF(U22 = 4,
          -(D22) * SIN(RADIANS(AB22)) + (E22) * COS(RADIANS(AB22))
          + W22,
          IF(U22 = 5,
            E22 + Y22 * SIN(RADIANS(AA22)) * SIN(RADIANS(AB22)),
            IF(U22 = 6,
              (-(D22) * SIN(RADIANS(AB22)) + (E22) * COS(RADIANS(AB22)) + W22)
              + Y22 * (1 - COS(RADIANS(AA22))) * SIN(RADIANS(Config!$H$18)) * COS(RADIANS(Config!$H$18)),
              COS(RADIANS(AA22)) * (-(D22 - V22) * SIN(RADIANS(AB22)) + (E22 - W22) * COS(RADIANS(AB22)))
              + SIN(RADIANS(AA22)) * (
                Config!$C$17 * ((D22 - V22) * COS(RADIANS(AB22)) + (E22 - W22) * SIN(RADIANS(AB22)))
                - Config!$C$15 * (F22 - X22)
              )
              + (1 - COS(RADIANS(AA22))) * (
                ((D22 - V22) * COS(RADIANS(AB22)) + (E22 - W22) * SIN(RADIANS(AB22))) * Config!$C$15
                + (-(D22 - V22) * SIN(RADIANS(AB22)) + (E22 - W22) * COS(RADIANS(AB22))) * Config!$C$16
                + (F22 - X22) * Config!$C$17
              ) * Config!$C$16
              + W22
            )
          )
        )
      )
    )
  )
)</f>
        <v>-59.379735785118797</v>
      </c>
      <c r="AF22" s="79">
        <f>IF(I22="","",
  IF(Config!$C$51=1, F22,
    IF(U22 &lt;= 2,
      -((-(D22 - V22) * SIN(RADIANS(AB22)) + (E22 - W22) * COS(RADIANS(AB22)))) * SIN(RADIANS(AA22))
      + (F22 - X22) * COS(RADIANS(AA22))
      + X22,
      IF(U22 = 3,
        -(((D22 - V22) * COS(RADIANS(AB22)) + (E22 - W22) * SIN(RADIANS(AB22)))) * SIN(RADIANS(AA22))
        + (F22 - X22) * COS(RADIANS(AA22))
        + X22,
        IF(U22 = 4,
          (F22 + X22) - Y22 * (1 - COS(RADIANS(AA22))),
          IF(U22 = 5,
            F22 - Y22 * (1 - COS(RADIANS(AA22))),
            IF(U22 = 6,
              (F22 + X22) - Y22 * SIN(RADIANS(Config!$H$18)) * SIN(RADIANS(Config!$H$18)) * (1 - COS(RADIANS(AA22))),
              COS(RADIANS(AA22)) * (F22 - X22)
              + SIN(RADIANS(AA22)) * (
                Config!$C$15 * (-(D22 - V22) * SIN(RADIANS(AB22)) + (E22 - W22) * COS(RADIANS(AB22)))
                - Config!$C$16 * ((D22 - V22) * COS(RADIANS(AB22)) + (E22 - W22) * SIN(RADIANS(AB22)))
              )
              + (1 - COS(RADIANS(AA22))) * (
                ((D22 - V22) * COS(RADIANS(AB22)) + (E22 - W22) * SIN(RADIANS(AB22))) * Config!$C$15
                + (-(D22 - V22) * SIN(RADIANS(AB22)) + (E22 - W22) * COS(RADIANS(AB22))) * Config!$C$16
                + (F22 - X22) * Config!$C$17
              ) * Config!$C$17
              + X22
            )
          )
        )
      )
    )
  )
)</f>
        <v>53.620427434695813</v>
      </c>
      <c r="AG22" s="72"/>
      <c r="AH22" s="96" t="str">
        <f>IF(I22="","",
  IF(OR(AA22="N/A", AA22=""),
    "N/A",
    IF(OR(
      AA22 &lt; IF(Config!$C$4=1,Config!$C$34,
        IF(Config!$C$4=2,Config!$D$34,
          IF(Config!$C$4=3,Config!$E$34,
            IF(Config!$C$4=4,Config!$F$34,
              IF(Config!$C$4=5,Config!$G$34,
                IF(Config!$C$4=6,Config!$H$34,Config!$I$34)
              )
            )
          )
        )
      ),
      AA22 &gt; IF(Config!$C$4=1,Config!$C$35,
        IF(Config!$C$4=2,Config!$D$35,
          IF(Config!$C$4=3,Config!$E$35,
            IF(Config!$C$4=4,Config!$F$35,
              IF(Config!$C$4=5,Config!$G$35,
                IF(Config!$C$4=6,Config!$H$35,Config!$I$35)
              )
            )
          )
        )
      )
    ),
    "⚠ OUT OF RANGE",
    "OK"
    )
  )
)</f>
        <v>OK</v>
      </c>
      <c r="AI22" s="96" t="str">
        <f>IF(I22="","",
  IF(OR(AB22="N/A", AB22=""),
    "N/A",
    IF(OR(
      AB22 &lt; IF(Config!$C$4=1,Config!$C$36,
        IF(Config!$C$4=2,Config!$D$36,
          IF(Config!$C$4=3,Config!$E$36,
            IF(Config!$C$4=4,Config!$F$36,
              IF(Config!$C$4=5,Config!$G$36,
                IF(Config!$C$4=6,Config!$H$36,Config!$I$36)
              )
            )
          )
        )
      ),
      AB22 &gt; IF(Config!$C$4=1,Config!$C$37,
        IF(Config!$C$4=2,Config!$D$37,
          IF(Config!$C$4=3,Config!$E$37,
            IF(Config!$C$4=4,Config!$F$37,
              IF(Config!$C$4=5,Config!$G$37,
                IF(Config!$C$4=6,Config!$H$37,Config!$I$37)
              )
            )
          )
        )
      )
    ),
    "⚠ OUT OF RANGE",
    "OK"
    )
  )
)</f>
        <v>OK</v>
      </c>
    </row>
    <row r="23" spans="1:35" ht="18" customHeight="1" x14ac:dyDescent="0.25">
      <c r="A23" s="43"/>
      <c r="B23" s="47">
        <v>19</v>
      </c>
      <c r="C23" s="71" t="s">
        <v>306</v>
      </c>
      <c r="D23" s="64">
        <v>59.542499999999997</v>
      </c>
      <c r="E23" s="64">
        <v>85.289699999999996</v>
      </c>
      <c r="F23" s="64">
        <v>79.312299999999993</v>
      </c>
      <c r="G23" s="64">
        <v>0</v>
      </c>
      <c r="H23" s="64">
        <v>0.5</v>
      </c>
      <c r="I23" s="64">
        <v>0.86602539999999995</v>
      </c>
      <c r="J23" s="47"/>
      <c r="K23" s="79">
        <f>IF(
    I23="",
    "",
    IF(
        Config!$C$4&lt;=2,
        IF(
            AND(G23=0,H23=0),
            0,
            IF(
                H23&gt;=0,
                DEGREES(ACOS(I23)),
                -DEGREES(ACOS(I23))
            )
        ),
        IF(
            Config!$C$4=3,
            IF(
                AND(G23=0,H23=0),
                0,
                IF(
                    G23&gt;=0,
                    DEGREES(ACOS(I23)),
                    -DEGREES(ACOS(I23))
                )
            ),
            IF(
                Config!$C$4=4,
                IF(
                    AND(G23=0,H23=0),
                    0,
                    DEGREES(ATAN2(I23,G23))
                ),
                IF(
                    Config!$C$4=5,
                    IF(
                        AND(G23=0,H23=0),
                        0,
                        DEGREES(ACOS(I23))
                    ),
                    IF(
                        Config!$C$4=6,
                        IF(
                            AND(G23=0,H23=0),
                            0,
                            IF(
                                G23&gt;=0,
                                DEGREES(ACOS(2*I23-1)),
                                -DEGREES(ACOS(2*I23-1))
                            )
                        ),
                        IF(
                            AND(G23=0,H23=0),
                            0,
                            IF(
                                ((G23*Config!$C$16-H23*Config!$C$15))&lt;=0,
                                DEGREES(
                                    ACOS(
                                        MAX(
                                            -1,
                                            MIN(
                                                1,
                                                (I23-Config!$C$20)/Config!$C$21
                                            )
                                        )
                                    )
                                ),
                                -DEGREES(
                                    ACOS(
                                        MAX(
                                            -1,
                                            MIN(
                                                1,
                                                (I23-Config!$C$20)/Config!$C$21
                                            )
                                        )
                                    )
                                )
                            )
                        )
                    )
                )
            )
        )
    )
)</f>
        <v>30.000000433664731</v>
      </c>
      <c r="L23" s="79">
        <f>IF(
    I23="",
    "",
    IF(
        Config!$C$4&lt;=2,
        IF(
            AND(G23=0,H23=0),
            0,
            DEGREES(ATAN2(H23,G23))
        ),
        IF(
            Config!$C$4=3,
            IF(
                AND(G23=0,H23=0),
                0,
                DEGREES(ATAN2(G23,-H23))
            ),
            IF(
                Config!$C$4=4,
                0,
                IF(
                    Config!$C$4=5,
                    IF(
                        AND(G23=0,H23=0),
                        0,
                        DEGREES(ATAN2(H23,G23))
                    ),
                    IF(
                        Config!$C$4=6,
                        IF(
                            AND(G23=0,H23=0),
                            0,
                            DEGREES(ATAN2(H23,G23))
                        ),
                        0
                    )
                )
            )
        )
    )
)</f>
        <v>0</v>
      </c>
      <c r="M23" s="47"/>
      <c r="N23" s="79">
        <f>IF(I23="","",
  IF(Config!$C$51=1, D23,
    IF(U23&lt;=2,
      (D23 - V23)*COS(RADIANS(L23)) + (E23 - W23)*SIN(RADIANS(L23)) + V23,
      IF(U23=3,
        ((D23 - V23)*COS(RADIANS(L23)) + (E23 - W23)*SIN(RADIANS(L23)))*COS(RADIANS(K23))
        + (F23 - X23)*SIN(RADIANS(K23)) + V23,
        IF(U23=4,
          (D23*COS(RADIANS(L23)) + E23*SIN(RADIANS(L23)) + V23) + Y23*SIN(RADIANS(K23)),
          IF(U23=5,
            D23 + Y23*SIN(RADIANS(K23))*COS(RADIANS(L23)),
            IF(U23=6,
              (D23*COS(RADIANS(L23)) + E23*SIN(RADIANS(L23)) + V23)
              + Y23*SIN(RADIANS(K23))*SIN(RADIANS(Config!$H$18)),
              COS(RADIANS(K23)) * (((D23 - V23)*COS(RADIANS(L23)) + (E23 - W23)*SIN(RADIANS(L23))))
              + SIN(RADIANS(K23)) * (
                Config!$C$16*(F23 - X23)
                - Config!$C$17*(-(D23 - V23)*SIN(RADIANS(L23)) + (E23 - W23)*COS(RADIANS(L23)))
              )
              + (1 - COS(RADIANS(K23))) * (
                ((D23 - V23)*COS(RADIANS(L23)) + (E23 - W23)*SIN(RADIANS(L23)))*Config!$C$15
                + (-(D23 - V23)*SIN(RADIANS(L23)) + (E23 - W23)*COS(RADIANS(L23)))*Config!$C$16
                + (F23 - X23)*Config!$C$17
              ) * Config!$C$15
              + V23
            )
          )
        )
      )
    )
  )
)</f>
        <v>59.542499999999997</v>
      </c>
      <c r="O23" s="79">
        <f>IF(I23="","",
  IF(Config!$C$51=1, E23,
    IF(U23 &lt;= 2,
      (-(D23 - V23) * SIN(RADIANS(L23)) + (E23 - W23) * COS(RADIANS(L23))) * COS(RADIANS(K23))
      + (F23 - X23) * SIN(RADIANS(K23))
      + W23,
      IF(U23 = 3,
        (-(D23 - V23) * SIN(RADIANS(L23)) + (E23 - W23) * COS(RADIANS(L23)))
        + W23,
        IF(U23 = 4,
          -(D23) * SIN(RADIANS(L23)) + (E23) * COS(RADIANS(L23))
          + W23,
          IF(U23 = 5,
            E23 + Y23 * SIN(RADIANS(K23)) * SIN(RADIANS(L23)),
            IF(U23 = 6,
              (-(D23) * SIN(RADIANS(L23)) + (E23) * COS(RADIANS(L23)) + W23)
              + Y23 * (1 - COS(RADIANS(K23))) * SIN(RADIANS(Config!$H$18)) * COS(RADIANS(Config!$H$18)),
              COS(RADIANS(K23)) * (-(D23 - V23) * SIN(RADIANS(L23)) + (E23 - W23) * COS(RADIANS(L23)))
              + SIN(RADIANS(K23)) * (
                Config!$C$17 * ((D23 - V23) * COS(RADIANS(L23)) + (E23 - W23) * SIN(RADIANS(L23)))
                - Config!$C$15 * (F23 - X23)
              )
              + (1 - COS(RADIANS(K23))) * (
                ((D23 - V23) * COS(RADIANS(L23)) + (E23 - W23) * SIN(RADIANS(L23))) * Config!$C$15
                + (-(D23 - V23) * SIN(RADIANS(L23)) + (E23 - W23) * COS(RADIANS(L23))) * Config!$C$16
                + (F23 - X23) * Config!$C$17
              ) * Config!$C$16
              + W23
            )
          )
        )
      )
    )
  )
)</f>
        <v>113.51919707825942</v>
      </c>
      <c r="P23" s="79">
        <f>IF(I23="","",
  IF(Config!$C$51=1, F23,
    IF(U23 &lt;= 2,
      -((-(D23 - V23) * SIN(RADIANS(L23)) + (E23 - W23) * COS(RADIANS(L23)))) * SIN(RADIANS(K23))
      + (F23 - X23) * COS(RADIANS(K23))
      + X23,
      IF(U23 = 3,
        -(((D23 - V23) * COS(RADIANS(L23)) + (E23 - W23) * SIN(RADIANS(L23)))) * SIN(RADIANS(K23))
        + (F23 - X23) * COS(RADIANS(K23))
        + X23,
        IF(U23 = 4,
          (F23 + X23) - Y23 * (1 - COS(RADIANS(K23))),
          IF(U23 = 5,
            F23 - Y23 * (1 - COS(RADIANS(K23))),
            IF(U23 = 6,
              (F23 + X23) - Y23 * SIN(RADIANS(Config!$H$18)) * SIN(RADIANS(Config!$H$18)) * (1 - COS(RADIANS(K23))),
              COS(RADIANS(K23)) * (F23 - X23)
              + SIN(RADIANS(K23)) * (
                Config!$C$15 * (-(D23 - V23) * SIN(RADIANS(L23)) + (E23 - W23) * COS(RADIANS(L23)))
                - Config!$C$16 * ((D23 - V23) * COS(RADIANS(L23)) + (E23 - W23) * SIN(RADIANS(L23)))
              )
              + (1 - COS(RADIANS(K23))) * (
                ((D23 - V23) * COS(RADIANS(L23)) + (E23 - W23) * SIN(RADIANS(L23))) * Config!$C$15
                + (-(D23 - V23) * SIN(RADIANS(L23)) + (E23 - W23) * COS(RADIANS(L23))) * Config!$C$16
                + (F23 - X23) * Config!$C$17
              ) * Config!$C$17
              + X23
            )
          )
        )
      )
    )
  )
)</f>
        <v>26.041615773359659</v>
      </c>
      <c r="Q23" s="47"/>
      <c r="R23" s="95" t="str">
        <f>IF(I23="","",
  IF(OR(
    K23 &lt; IF(Config!$C$4=1,Config!$C$34,
      IF(Config!$C$4=2,Config!$D$34,
        IF(Config!$C$4=3,Config!$E$34,
          IF(Config!$C$4=4,Config!$F$34,
            IF(Config!$C$4=5,Config!$G$34,
              IF(Config!$C$4=6,Config!$H$34,Config!$I$34)
            )
          )
        )
      )
    ),
    K23 &gt; IF(Config!$C$4=1,Config!$C$35,
      IF(Config!$C$4=2,Config!$D$35,
        IF(Config!$C$4=3,Config!$E$35,
          IF(Config!$C$4=4,Config!$F$35,
            IF(Config!$C$4=5,Config!$G$35,
              IF(Config!$C$4=6,Config!$H$35,Config!$I$35)
            )
          )
        )
      )
    )
  ),
    "⚠ OUT OF RANGE",
    "OK"
  )
)</f>
        <v>⚠ OUT OF RANGE</v>
      </c>
      <c r="S23" s="95" t="str">
        <f>IF(I23="","",
  IF(OR(
    L23 &lt; IF(Config!$C$4=1,Config!$C$36,
      IF(Config!$C$4=2,Config!$D$36,
        IF(Config!$C$4=3,Config!$E$36,
          IF(Config!$C$4=4,Config!$F$36,
            IF(Config!$C$4=5,Config!$G$36,
              IF(Config!$C$4=6,Config!$H$36,Config!$I$36)
            )
          )
        )
      )
    ),
    L23 &gt; IF(Config!$C$4=1,Config!$C$37,
      IF(Config!$C$4=2,Config!$D$37,
        IF(Config!$C$4=3,Config!$E$37,
          IF(Config!$C$4=4,Config!$F$37,
            IF(Config!$C$4=5,Config!$G$37,
              IF(Config!$C$4=6,Config!$H$37,Config!$I$37)
            )
          )
        )
      )
    )
  ),
    "⚠ OUT OF RANGE",
    "OK"
  )
)</f>
        <v>OK</v>
      </c>
      <c r="T23" s="47"/>
      <c r="U23" s="79">
        <f>Config!$C$4</f>
        <v>1</v>
      </c>
      <c r="V23" s="79">
        <f>IF(U23=1, Config!$C$27,
  IF(U23=2, Config!$D$27,
    IF(U23=3, Config!$E$27,
      IF(U23=4, Config!$F$27,
        IF(U23=5, Config!$G$27,
          IF(U23=6, Config!$H$27,
            Config!$I$27
          )
        )
      )
    )
  )
)</f>
        <v>0</v>
      </c>
      <c r="W23" s="79">
        <f>IF(U23=1, Config!$C$28,
  IF(U23=2, Config!$D$28,
    IF(U23=3, Config!$E$28,
      IF(U23=4, Config!$F$28,
        IF(U23=5, Config!$G$28,
          IF(U23=6, Config!$H$28,
            Config!$I$28
          )
        )
      )
    )
  )
)</f>
        <v>0</v>
      </c>
      <c r="X23" s="79">
        <f>IF(U23=1, Config!$C$29,
  IF(U23=2, Config!$D$29,
    IF(U23=3, Config!$E$29,
      IF(U23=4, Config!$F$29,
        IF(U23=5, Config!$G$29,
          IF(U23=6, Config!$H$29,
            Config!$I$29
          )
        )
      )
    )
  )
)</f>
        <v>0</v>
      </c>
      <c r="Y23" s="79">
        <f>IF(U23=1, Config!$C$30,
  IF(U23=2, Config!$D$30,
    IF(U23=3, Config!$E$30,
      IF(U23=4, Config!$F$30,
        IF(U23=5, Config!$G$30,
          IF(U23=6, Config!$H$30,
            Config!$I$30
          )
        )
      )
    )
  )
)</f>
        <v>0</v>
      </c>
      <c r="AA23" s="79">
        <f t="shared" si="0"/>
        <v>-30.000000433664731</v>
      </c>
      <c r="AB23" s="79">
        <f t="shared" si="1"/>
        <v>180</v>
      </c>
      <c r="AC23" s="72"/>
      <c r="AD23" s="79">
        <f>IF(I23="","",
  IF(Config!$C$51=1, D23,
    IF(U23&lt;=2,
      (D23 - V23)*COS(RADIANS(AB23)) + (E23 - W23)*SIN(RADIANS(AB23)) + V23,
      IF(U23=3,
        ((D23 - V23)*COS(RADIANS(AB23)) + (E23 - W23)*SIN(RADIANS(AB23)))*COS(RADIANS(AA23))
        + (F23 - X23)*SIN(RADIANS(AA23)) + V23,
        IF(U23=4,
          (D23*COS(RADIANS(AB23)) + E23*SIN(RADIANS(AB23)) + V23) + Y23*SIN(RADIANS(AA23)),
          IF(U23=5,
            D23 + Y23*SIN(RADIANS(AA23))*COS(RADIANS(AB23)),
            IF(U23=6,
              (D23*COS(RADIANS(AB23)) + E23*SIN(RADIANS(AB23)) + V23)
              + Y23*SIN(RADIANS(AA23))*SIN(RADIANS(Config!$H$18)),
              COS(RADIANS(AA23)) * (((D23 - V23)*COS(RADIANS(AB23)) + (E23 - W23)*SIN(RADIANS(AB23))))
              + SIN(RADIANS(AA23)) * (
                Config!$C$16*(F23 - X23)
                - Config!$C$17*(-(D23 - V23)*SIN(RADIANS(AB23)) + (E23 - W23)*COS(RADIANS(AB23)))
              )
              + (1 - COS(RADIANS(AA23))) * (
                ((D23 - V23)*COS(RADIANS(AB23)) + (E23 - W23)*SIN(RADIANS(AB23)))*Config!$C$15
                + (-(D23 - V23)*SIN(RADIANS(AB23)) + (E23 - W23)*COS(RADIANS(AB23)))*Config!$C$16
                + (F23 - X23)*Config!$C$17
              ) * Config!$C$15
              + V23
            )
          )
        )
      )
    )
  )
)</f>
        <v>-59.54249999999999</v>
      </c>
      <c r="AE23" s="79">
        <f>IF(I23="","",
  IF(Config!$C$51=1, E23,
    IF(U23 &lt;= 2,
      (-(D23 - V23) * SIN(RADIANS(AB23)) + (E23 - W23) * COS(RADIANS(AB23))) * COS(RADIANS(AA23))
      + (F23 - X23) * SIN(RADIANS(AA23))
      + W23,
      IF(U23 = 3,
        (-(D23 - V23) * SIN(RADIANS(AB23)) + (E23 - W23) * COS(RADIANS(AB23)))
        + W23,
        IF(U23 = 4,
          -(D23) * SIN(RADIANS(AB23)) + (E23) * COS(RADIANS(AB23))
          + W23,
          IF(U23 = 5,
            E23 + Y23 * SIN(RADIANS(AA23)) * SIN(RADIANS(AB23)),
            IF(U23 = 6,
              (-(D23) * SIN(RADIANS(AB23)) + (E23) * COS(RADIANS(AB23)) + W23)
              + Y23 * (1 - COS(RADIANS(AA23))) * SIN(RADIANS(Config!$H$18)) * COS(RADIANS(Config!$H$18)),
              COS(RADIANS(AA23)) * (-(D23 - V23) * SIN(RADIANS(AB23)) + (E23 - W23) * COS(RADIANS(AB23)))
              + SIN(RADIANS(AA23)) * (
                Config!$C$17 * ((D23 - V23) * COS(RADIANS(AB23)) + (E23 - W23) * SIN(RADIANS(AB23)))
                - Config!$C$15 * (F23 - X23)
              )
              + (1 - COS(RADIANS(AA23))) * (
                ((D23 - V23) * COS(RADIANS(AB23)) + (E23 - W23) * SIN(RADIANS(AB23))) * Config!$C$15
                + (-(D23 - V23) * SIN(RADIANS(AB23)) + (E23 - W23) * COS(RADIANS(AB23))) * Config!$C$16
                + (F23 - X23) * Config!$C$17
              ) * Config!$C$16
              + W23
            )
          )
        )
      )
    )
  )
)</f>
        <v>-113.51919707825944</v>
      </c>
      <c r="AF23" s="79">
        <f>IF(I23="","",
  IF(Config!$C$51=1, F23,
    IF(U23 &lt;= 2,
      -((-(D23 - V23) * SIN(RADIANS(AB23)) + (E23 - W23) * COS(RADIANS(AB23)))) * SIN(RADIANS(AA23))
      + (F23 - X23) * COS(RADIANS(AA23))
      + X23,
      IF(U23 = 3,
        -(((D23 - V23) * COS(RADIANS(AB23)) + (E23 - W23) * SIN(RADIANS(AB23)))) * SIN(RADIANS(AA23))
        + (F23 - X23) * COS(RADIANS(AA23))
        + X23,
        IF(U23 = 4,
          (F23 + X23) - Y23 * (1 - COS(RADIANS(AA23))),
          IF(U23 = 5,
            F23 - Y23 * (1 - COS(RADIANS(AA23))),
            IF(U23 = 6,
              (F23 + X23) - Y23 * SIN(RADIANS(Config!$H$18)) * SIN(RADIANS(Config!$H$18)) * (1 - COS(RADIANS(AA23))),
              COS(RADIANS(AA23)) * (F23 - X23)
              + SIN(RADIANS(AA23)) * (
                Config!$C$15 * (-(D23 - V23) * SIN(RADIANS(AB23)) + (E23 - W23) * COS(RADIANS(AB23)))
                - Config!$C$16 * ((D23 - V23) * COS(RADIANS(AB23)) + (E23 - W23) * SIN(RADIANS(AB23)))
              )
              + (1 - COS(RADIANS(AA23))) * (
                ((D23 - V23) * COS(RADIANS(AB23)) + (E23 - W23) * SIN(RADIANS(AB23))) * Config!$C$15
                + (-(D23 - V23) * SIN(RADIANS(AB23)) + (E23 - W23) * COS(RADIANS(AB23))) * Config!$C$16
                + (F23 - X23) * Config!$C$17
              ) * Config!$C$17
              + X23
            )
          )
        )
      )
    )
  )
)</f>
        <v>26.041615773359652</v>
      </c>
      <c r="AG23" s="72"/>
      <c r="AH23" s="96" t="str">
        <f>IF(I23="","",
  IF(OR(AA23="N/A", AA23=""),
    "N/A",
    IF(OR(
      AA23 &lt; IF(Config!$C$4=1,Config!$C$34,
        IF(Config!$C$4=2,Config!$D$34,
          IF(Config!$C$4=3,Config!$E$34,
            IF(Config!$C$4=4,Config!$F$34,
              IF(Config!$C$4=5,Config!$G$34,
                IF(Config!$C$4=6,Config!$H$34,Config!$I$34)
              )
            )
          )
        )
      ),
      AA23 &gt; IF(Config!$C$4=1,Config!$C$35,
        IF(Config!$C$4=2,Config!$D$35,
          IF(Config!$C$4=3,Config!$E$35,
            IF(Config!$C$4=4,Config!$F$35,
              IF(Config!$C$4=5,Config!$G$35,
                IF(Config!$C$4=6,Config!$H$35,Config!$I$35)
              )
            )
          )
        )
      )
    ),
    "⚠ OUT OF RANGE",
    "OK"
    )
  )
)</f>
        <v>OK</v>
      </c>
      <c r="AI23" s="96" t="str">
        <f>IF(I23="","",
  IF(OR(AB23="N/A", AB23=""),
    "N/A",
    IF(OR(
      AB23 &lt; IF(Config!$C$4=1,Config!$C$36,
        IF(Config!$C$4=2,Config!$D$36,
          IF(Config!$C$4=3,Config!$E$36,
            IF(Config!$C$4=4,Config!$F$36,
              IF(Config!$C$4=5,Config!$G$36,
                IF(Config!$C$4=6,Config!$H$36,Config!$I$36)
              )
            )
          )
        )
      ),
      AB23 &gt; IF(Config!$C$4=1,Config!$C$37,
        IF(Config!$C$4=2,Config!$D$37,
          IF(Config!$C$4=3,Config!$E$37,
            IF(Config!$C$4=4,Config!$F$37,
              IF(Config!$C$4=5,Config!$G$37,
                IF(Config!$C$4=6,Config!$H$37,Config!$I$37)
              )
            )
          )
        )
      )
    ),
    "⚠ OUT OF RANGE",
    "OK"
    )
  )
)</f>
        <v>OK</v>
      </c>
    </row>
    <row r="24" spans="1:35" ht="18" customHeight="1" x14ac:dyDescent="0.25">
      <c r="A24" s="43"/>
      <c r="B24" s="47">
        <v>20</v>
      </c>
      <c r="C24" s="71" t="s">
        <v>307</v>
      </c>
      <c r="D24" s="64">
        <v>-102.6567</v>
      </c>
      <c r="E24" s="64">
        <v>53.5717</v>
      </c>
      <c r="F24" s="64">
        <v>72.086299999999994</v>
      </c>
      <c r="G24" s="64">
        <v>-0.26726119999999998</v>
      </c>
      <c r="H24" s="64">
        <v>0.26726119999999998</v>
      </c>
      <c r="I24" s="64">
        <v>0.92582010000000003</v>
      </c>
      <c r="J24" s="47"/>
      <c r="K24" s="79">
        <f>IF(
    I24="",
    "",
    IF(
        Config!$C$4&lt;=2,
        IF(
            AND(G24=0,H24=0),
            0,
            IF(
                H24&gt;=0,
                DEGREES(ACOS(I24)),
                -DEGREES(ACOS(I24))
            )
        ),
        IF(
            Config!$C$4=3,
            IF(
                AND(G24=0,H24=0),
                0,
                IF(
                    G24&gt;=0,
                    DEGREES(ACOS(I24)),
                    -DEGREES(ACOS(I24))
                )
            ),
            IF(
                Config!$C$4=4,
                IF(
                    AND(G24=0,H24=0),
                    0,
                    DEGREES(ATAN2(I24,G24))
                ),
                IF(
                    Config!$C$4=5,
                    IF(
                        AND(G24=0,H24=0),
                        0,
                        DEGREES(ACOS(I24))
                    ),
                    IF(
                        Config!$C$4=6,
                        IF(
                            AND(G24=0,H24=0),
                            0,
                            IF(
                                G24&gt;=0,
                                DEGREES(ACOS(2*I24-1)),
                                -DEGREES(ACOS(2*I24-1))
                            )
                        ),
                        IF(
                            AND(G24=0,H24=0),
                            0,
                            IF(
                                ((G24*Config!$C$16-H24*Config!$C$15))&lt;=0,
                                DEGREES(
                                    ACOS(
                                        MAX(
                                            -1,
                                            MIN(
                                                1,
                                                (I24-Config!$C$20)/Config!$C$21
                                            )
                                        )
                                    )
                                ),
                                -DEGREES(
                                    ACOS(
                                        MAX(
                                            -1,
                                            MIN(
                                                1,
                                                (I24-Config!$C$20)/Config!$C$21
                                            )
                                        )
                                    )
                                )
                            )
                        )
                    )
                )
            )
        )
    )
)</f>
        <v>22.207654264117462</v>
      </c>
      <c r="L24" s="79">
        <f>IF(
    I24="",
    "",
    IF(
        Config!$C$4&lt;=2,
        IF(
            AND(G24=0,H24=0),
            0,
            DEGREES(ATAN2(H24,G24))
        ),
        IF(
            Config!$C$4=3,
            IF(
                AND(G24=0,H24=0),
                0,
                DEGREES(ATAN2(G24,-H24))
            ),
            IF(
                Config!$C$4=4,
                0,
                IF(
                    Config!$C$4=5,
                    IF(
                        AND(G24=0,H24=0),
                        0,
                        DEGREES(ATAN2(H24,G24))
                    ),
                    IF(
                        Config!$C$4=6,
                        IF(
                            AND(G24=0,H24=0),
                            0,
                            DEGREES(ATAN2(H24,G24))
                        ),
                        0
                    )
                )
            )
        )
    )
)</f>
        <v>-45</v>
      </c>
      <c r="M24" s="47"/>
      <c r="N24" s="79">
        <f>IF(I24="","",
  IF(Config!$C$51=1, D24,
    IF(U24&lt;=2,
      (D24 - V24)*COS(RADIANS(L24)) + (E24 - W24)*SIN(RADIANS(L24)) + V24,
      IF(U24=3,
        ((D24 - V24)*COS(RADIANS(L24)) + (E24 - W24)*SIN(RADIANS(L24)))*COS(RADIANS(K24))
        + (F24 - X24)*SIN(RADIANS(K24)) + V24,
        IF(U24=4,
          (D24*COS(RADIANS(L24)) + E24*SIN(RADIANS(L24)) + V24) + Y24*SIN(RADIANS(K24)),
          IF(U24=5,
            D24 + Y24*SIN(RADIANS(K24))*COS(RADIANS(L24)),
            IF(U24=6,
              (D24*COS(RADIANS(L24)) + E24*SIN(RADIANS(L24)) + V24)
              + Y24*SIN(RADIANS(K24))*SIN(RADIANS(Config!$H$18)),
              COS(RADIANS(K24)) * (((D24 - V24)*COS(RADIANS(L24)) + (E24 - W24)*SIN(RADIANS(L24))))
              + SIN(RADIANS(K24)) * (
                Config!$C$16*(F24 - X24)
                - Config!$C$17*(-(D24 - V24)*SIN(RADIANS(L24)) + (E24 - W24)*COS(RADIANS(L24)))
              )
              + (1 - COS(RADIANS(K24))) * (
                ((D24 - V24)*COS(RADIANS(L24)) + (E24 - W24)*SIN(RADIANS(L24)))*Config!$C$15
                + (-(D24 - V24)*SIN(RADIANS(L24)) + (E24 - W24)*COS(RADIANS(L24)))*Config!$C$16
                + (F24 - X24)*Config!$C$17
              ) * Config!$C$15
              + V24
            )
          )
        )
      )
    )
  )
)</f>
        <v>-110.47016105392441</v>
      </c>
      <c r="O24" s="79">
        <f>IF(I24="","",
  IF(Config!$C$51=1, E24,
    IF(U24 &lt;= 2,
      (-(D24 - V24) * SIN(RADIANS(L24)) + (E24 - W24) * COS(RADIANS(L24))) * COS(RADIANS(K24))
      + (F24 - X24) * SIN(RADIANS(K24))
      + W24,
      IF(U24 = 3,
        (-(D24 - V24) * SIN(RADIANS(L24)) + (E24 - W24) * COS(RADIANS(L24)))
        + W24,
        IF(U24 = 4,
          -(D24) * SIN(RADIANS(L24)) + (E24) * COS(RADIANS(L24))
          + W24,
          IF(U24 = 5,
            E24 + Y24 * SIN(RADIANS(K24)) * SIN(RADIANS(L24)),
            IF(U24 = 6,
              (-(D24) * SIN(RADIANS(L24)) + (E24) * COS(RADIANS(L24)) + W24)
              + Y24 * (1 - COS(RADIANS(K24))) * SIN(RADIANS(Config!$H$18)) * COS(RADIANS(Config!$H$18)),
              COS(RADIANS(K24)) * (-(D24 - V24) * SIN(RADIANS(L24)) + (E24 - W24) * COS(RADIANS(L24)))
              + SIN(RADIANS(K24)) * (
                Config!$C$17 * ((D24 - V24) * COS(RADIANS(L24)) + (E24 - W24) * SIN(RADIANS(L24)))
                - Config!$C$15 * (F24 - X24)
              )
              + (1 - COS(RADIANS(K24))) * (
                ((D24 - V24) * COS(RADIANS(L24)) + (E24 - W24) * SIN(RADIANS(L24))) * Config!$C$15
                + (-(D24 - V24) * SIN(RADIANS(L24)) + (E24 - W24) * COS(RADIANS(L24))) * Config!$C$16
                + (F24 - X24) * Config!$C$17
              ) * Config!$C$16
              + W24
            )
          )
        )
      )
    )
  )
)</f>
        <v>-4.8876150840720207</v>
      </c>
      <c r="P24" s="79">
        <f>IF(I24="","",
  IF(Config!$C$51=1, F24,
    IF(U24 &lt;= 2,
      -((-(D24 - V24) * SIN(RADIANS(L24)) + (E24 - W24) * COS(RADIANS(L24)))) * SIN(RADIANS(K24))
      + (F24 - X24) * COS(RADIANS(K24))
      + X24,
      IF(U24 = 3,
        -(((D24 - V24) * COS(RADIANS(L24)) + (E24 - W24) * SIN(RADIANS(L24)))) * SIN(RADIANS(K24))
        + (F24 - X24) * COS(RADIANS(K24))
        + X24,
        IF(U24 = 4,
          (F24 + X24) - Y24 * (1 - COS(RADIANS(K24))),
          IF(U24 = 5,
            F24 - Y24 * (1 - COS(RADIANS(K24))),
            IF(U24 = 6,
              (F24 + X24) - Y24 * SIN(RADIANS(Config!$H$18)) * SIN(RADIANS(Config!$H$18)) * (1 - COS(RADIANS(K24))),
              COS(RADIANS(K24)) * (F24 - X24)
              + SIN(RADIANS(K24)) * (
                Config!$C$15 * (-(D24 - V24) * SIN(RADIANS(L24)) + (E24 - W24) * COS(RADIANS(L24)))
                - Config!$C$16 * ((D24 - V24) * COS(RADIANS(L24)) + (E24 - W24) * SIN(RADIANS(L24)))
              )
              + (1 - COS(RADIANS(K24))) * (
                ((D24 - V24) * COS(RADIANS(L24)) + (E24 - W24) * SIN(RADIANS(L24))) * Config!$C$15
                + (-(D24 - V24) * SIN(RADIANS(L24)) + (E24 - W24) * COS(RADIANS(L24))) * Config!$C$16
                + (F24 - X24) * Config!$C$17
              ) * Config!$C$17
              + X24
            )
          )
        )
      )
    )
  )
)</f>
        <v>79.857463514564188</v>
      </c>
      <c r="Q24" s="47"/>
      <c r="R24" s="95" t="str">
        <f>IF(I24="","",
  IF(OR(
    K24 &lt; IF(Config!$C$4=1,Config!$C$34,
      IF(Config!$C$4=2,Config!$D$34,
        IF(Config!$C$4=3,Config!$E$34,
          IF(Config!$C$4=4,Config!$F$34,
            IF(Config!$C$4=5,Config!$G$34,
              IF(Config!$C$4=6,Config!$H$34,Config!$I$34)
            )
          )
        )
      )
    ),
    K24 &gt; IF(Config!$C$4=1,Config!$C$35,
      IF(Config!$C$4=2,Config!$D$35,
        IF(Config!$C$4=3,Config!$E$35,
          IF(Config!$C$4=4,Config!$F$35,
            IF(Config!$C$4=5,Config!$G$35,
              IF(Config!$C$4=6,Config!$H$35,Config!$I$35)
            )
          )
        )
      )
    )
  ),
    "⚠ OUT OF RANGE",
    "OK"
  )
)</f>
        <v>OK</v>
      </c>
      <c r="S24" s="95" t="str">
        <f>IF(I24="","",
  IF(OR(
    L24 &lt; IF(Config!$C$4=1,Config!$C$36,
      IF(Config!$C$4=2,Config!$D$36,
        IF(Config!$C$4=3,Config!$E$36,
          IF(Config!$C$4=4,Config!$F$36,
            IF(Config!$C$4=5,Config!$G$36,
              IF(Config!$C$4=6,Config!$H$36,Config!$I$36)
            )
          )
        )
      )
    ),
    L24 &gt; IF(Config!$C$4=1,Config!$C$37,
      IF(Config!$C$4=2,Config!$D$37,
        IF(Config!$C$4=3,Config!$E$37,
          IF(Config!$C$4=4,Config!$F$37,
            IF(Config!$C$4=5,Config!$G$37,
              IF(Config!$C$4=6,Config!$H$37,Config!$I$37)
            )
          )
        )
      )
    )
  ),
    "⚠ OUT OF RANGE",
    "OK"
  )
)</f>
        <v>OK</v>
      </c>
      <c r="T24" s="47"/>
      <c r="U24" s="79">
        <f>Config!$C$4</f>
        <v>1</v>
      </c>
      <c r="V24" s="79">
        <f>IF(U24=1, Config!$C$27,
  IF(U24=2, Config!$D$27,
    IF(U24=3, Config!$E$27,
      IF(U24=4, Config!$F$27,
        IF(U24=5, Config!$G$27,
          IF(U24=6, Config!$H$27,
            Config!$I$27
          )
        )
      )
    )
  )
)</f>
        <v>0</v>
      </c>
      <c r="W24" s="79">
        <f>IF(U24=1, Config!$C$28,
  IF(U24=2, Config!$D$28,
    IF(U24=3, Config!$E$28,
      IF(U24=4, Config!$F$28,
        IF(U24=5, Config!$G$28,
          IF(U24=6, Config!$H$28,
            Config!$I$28
          )
        )
      )
    )
  )
)</f>
        <v>0</v>
      </c>
      <c r="X24" s="79">
        <f>IF(U24=1, Config!$C$29,
  IF(U24=2, Config!$D$29,
    IF(U24=3, Config!$E$29,
      IF(U24=4, Config!$F$29,
        IF(U24=5, Config!$G$29,
          IF(U24=6, Config!$H$29,
            Config!$I$29
          )
        )
      )
    )
  )
)</f>
        <v>0</v>
      </c>
      <c r="Y24" s="79">
        <f>IF(U24=1, Config!$C$30,
  IF(U24=2, Config!$D$30,
    IF(U24=3, Config!$E$30,
      IF(U24=4, Config!$F$30,
        IF(U24=5, Config!$G$30,
          IF(U24=6, Config!$H$30,
            Config!$I$30
          )
        )
      )
    )
  )
)</f>
        <v>0</v>
      </c>
      <c r="AA24" s="79">
        <f t="shared" si="0"/>
        <v>-22.207654264117462</v>
      </c>
      <c r="AB24" s="79">
        <f t="shared" si="1"/>
        <v>135</v>
      </c>
      <c r="AC24" s="72"/>
      <c r="AD24" s="79">
        <f>IF(I24="","",
  IF(Config!$C$51=1, D24,
    IF(U24&lt;=2,
      (D24 - V24)*COS(RADIANS(AB24)) + (E24 - W24)*SIN(RADIANS(AB24)) + V24,
      IF(U24=3,
        ((D24 - V24)*COS(RADIANS(AB24)) + (E24 - W24)*SIN(RADIANS(AB24)))*COS(RADIANS(AA24))
        + (F24 - X24)*SIN(RADIANS(AA24)) + V24,
        IF(U24=4,
          (D24*COS(RADIANS(AB24)) + E24*SIN(RADIANS(AB24)) + V24) + Y24*SIN(RADIANS(AA24)),
          IF(U24=5,
            D24 + Y24*SIN(RADIANS(AA24))*COS(RADIANS(AB24)),
            IF(U24=6,
              (D24*COS(RADIANS(AB24)) + E24*SIN(RADIANS(AB24)) + V24)
              + Y24*SIN(RADIANS(AA24))*SIN(RADIANS(Config!$H$18)),
              COS(RADIANS(AA24)) * (((D24 - V24)*COS(RADIANS(AB24)) + (E24 - W24)*SIN(RADIANS(AB24))))
              + SIN(RADIANS(AA24)) * (
                Config!$C$16*(F24 - X24)
                - Config!$C$17*(-(D24 - V24)*SIN(RADIANS(AB24)) + (E24 - W24)*COS(RADIANS(AB24)))
              )
              + (1 - COS(RADIANS(AA24))) * (
                ((D24 - V24)*COS(RADIANS(AB24)) + (E24 - W24)*SIN(RADIANS(AB24)))*Config!$C$15
                + (-(D24 - V24)*SIN(RADIANS(AB24)) + (E24 - W24)*COS(RADIANS(AB24)))*Config!$C$16
                + (F24 - X24)*Config!$C$17
              ) * Config!$C$15
              + V24
            )
          )
        )
      )
    )
  )
)</f>
        <v>110.47016105392441</v>
      </c>
      <c r="AE24" s="79">
        <f>IF(I24="","",
  IF(Config!$C$51=1, E24,
    IF(U24 &lt;= 2,
      (-(D24 - V24) * SIN(RADIANS(AB24)) + (E24 - W24) * COS(RADIANS(AB24))) * COS(RADIANS(AA24))
      + (F24 - X24) * SIN(RADIANS(AA24))
      + W24,
      IF(U24 = 3,
        (-(D24 - V24) * SIN(RADIANS(AB24)) + (E24 - W24) * COS(RADIANS(AB24)))
        + W24,
        IF(U24 = 4,
          -(D24) * SIN(RADIANS(AB24)) + (E24) * COS(RADIANS(AB24))
          + W24,
          IF(U24 = 5,
            E24 + Y24 * SIN(RADIANS(AA24)) * SIN(RADIANS(AB24)),
            IF(U24 = 6,
              (-(D24) * SIN(RADIANS(AB24)) + (E24) * COS(RADIANS(AB24)) + W24)
              + Y24 * (1 - COS(RADIANS(AA24))) * SIN(RADIANS(Config!$H$18)) * COS(RADIANS(Config!$H$18)),
              COS(RADIANS(AA24)) * (-(D24 - V24) * SIN(RADIANS(AB24)) + (E24 - W24) * COS(RADIANS(AB24)))
              + SIN(RADIANS(AA24)) * (
                Config!$C$17 * ((D24 - V24) * COS(RADIANS(AB24)) + (E24 - W24) * SIN(RADIANS(AB24)))
                - Config!$C$15 * (F24 - X24)
              )
              + (1 - COS(RADIANS(AA24))) * (
                ((D24 - V24) * COS(RADIANS(AB24)) + (E24 - W24) * SIN(RADIANS(AB24))) * Config!$C$15
                + (-(D24 - V24) * SIN(RADIANS(AB24)) + (E24 - W24) * COS(RADIANS(AB24))) * Config!$C$16
                + (F24 - X24) * Config!$C$17
              ) * Config!$C$16
              + W24
            )
          )
        )
      )
    )
  )
)</f>
        <v>4.887615084072042</v>
      </c>
      <c r="AF24" s="79">
        <f>IF(I24="","",
  IF(Config!$C$51=1, F24,
    IF(U24 &lt;= 2,
      -((-(D24 - V24) * SIN(RADIANS(AB24)) + (E24 - W24) * COS(RADIANS(AB24)))) * SIN(RADIANS(AA24))
      + (F24 - X24) * COS(RADIANS(AA24))
      + X24,
      IF(U24 = 3,
        -(((D24 - V24) * COS(RADIANS(AB24)) + (E24 - W24) * SIN(RADIANS(AB24)))) * SIN(RADIANS(AA24))
        + (F24 - X24) * COS(RADIANS(AA24))
        + X24,
        IF(U24 = 4,
          (F24 + X24) - Y24 * (1 - COS(RADIANS(AA24))),
          IF(U24 = 5,
            F24 - Y24 * (1 - COS(RADIANS(AA24))),
            IF(U24 = 6,
              (F24 + X24) - Y24 * SIN(RADIANS(Config!$H$18)) * SIN(RADIANS(Config!$H$18)) * (1 - COS(RADIANS(AA24))),
              COS(RADIANS(AA24)) * (F24 - X24)
              + SIN(RADIANS(AA24)) * (
                Config!$C$15 * (-(D24 - V24) * SIN(RADIANS(AB24)) + (E24 - W24) * COS(RADIANS(AB24)))
                - Config!$C$16 * ((D24 - V24) * COS(RADIANS(AB24)) + (E24 - W24) * SIN(RADIANS(AB24)))
              )
              + (1 - COS(RADIANS(AA24))) * (
                ((D24 - V24) * COS(RADIANS(AB24)) + (E24 - W24) * SIN(RADIANS(AB24))) * Config!$C$15
                + (-(D24 - V24) * SIN(RADIANS(AB24)) + (E24 - W24) * COS(RADIANS(AB24))) * Config!$C$16
                + (F24 - X24) * Config!$C$17
              ) * Config!$C$17
              + X24
            )
          )
        )
      )
    )
  )
)</f>
        <v>79.857463514564188</v>
      </c>
      <c r="AG24" s="72"/>
      <c r="AH24" s="96" t="str">
        <f>IF(I24="","",
  IF(OR(AA24="N/A", AA24=""),
    "N/A",
    IF(OR(
      AA24 &lt; IF(Config!$C$4=1,Config!$C$34,
        IF(Config!$C$4=2,Config!$D$34,
          IF(Config!$C$4=3,Config!$E$34,
            IF(Config!$C$4=4,Config!$F$34,
              IF(Config!$C$4=5,Config!$G$34,
                IF(Config!$C$4=6,Config!$H$34,Config!$I$34)
              )
            )
          )
        )
      ),
      AA24 &gt; IF(Config!$C$4=1,Config!$C$35,
        IF(Config!$C$4=2,Config!$D$35,
          IF(Config!$C$4=3,Config!$E$35,
            IF(Config!$C$4=4,Config!$F$35,
              IF(Config!$C$4=5,Config!$G$35,
                IF(Config!$C$4=6,Config!$H$35,Config!$I$35)
              )
            )
          )
        )
      )
    ),
    "⚠ OUT OF RANGE",
    "OK"
    )
  )
)</f>
        <v>OK</v>
      </c>
      <c r="AI24" s="96" t="str">
        <f>IF(I24="","",
  IF(OR(AB24="N/A", AB24=""),
    "N/A",
    IF(OR(
      AB24 &lt; IF(Config!$C$4=1,Config!$C$36,
        IF(Config!$C$4=2,Config!$D$36,
          IF(Config!$C$4=3,Config!$E$36,
            IF(Config!$C$4=4,Config!$F$36,
              IF(Config!$C$4=5,Config!$G$36,
                IF(Config!$C$4=6,Config!$H$36,Config!$I$36)
              )
            )
          )
        )
      ),
      AB24 &gt; IF(Config!$C$4=1,Config!$C$37,
        IF(Config!$C$4=2,Config!$D$37,
          IF(Config!$C$4=3,Config!$E$37,
            IF(Config!$C$4=4,Config!$F$37,
              IF(Config!$C$4=5,Config!$G$37,
                IF(Config!$C$4=6,Config!$H$37,Config!$I$37)
              )
            )
          )
        )
      )
    ),
    "⚠ OUT OF RANGE",
    "OK"
    )
  )
)</f>
        <v>OK</v>
      </c>
    </row>
    <row r="25" spans="1:35" ht="18" customHeight="1" x14ac:dyDescent="0.25">
      <c r="A25" s="43"/>
      <c r="B25" s="47">
        <v>21</v>
      </c>
      <c r="C25" s="71" t="s">
        <v>308</v>
      </c>
      <c r="D25" s="64">
        <v>-85.289699999999996</v>
      </c>
      <c r="E25" s="64">
        <v>59.542499999999997</v>
      </c>
      <c r="F25" s="64">
        <v>79.312299999999993</v>
      </c>
      <c r="G25" s="64">
        <v>-0.5</v>
      </c>
      <c r="H25" s="64">
        <v>0</v>
      </c>
      <c r="I25" s="64">
        <v>0.86602539999999995</v>
      </c>
      <c r="J25" s="47"/>
      <c r="K25" s="79">
        <f>IF(
    I25="",
    "",
    IF(
        Config!$C$4&lt;=2,
        IF(
            AND(G25=0,H25=0),
            0,
            IF(
                H25&gt;=0,
                DEGREES(ACOS(I25)),
                -DEGREES(ACOS(I25))
            )
        ),
        IF(
            Config!$C$4=3,
            IF(
                AND(G25=0,H25=0),
                0,
                IF(
                    G25&gt;=0,
                    DEGREES(ACOS(I25)),
                    -DEGREES(ACOS(I25))
                )
            ),
            IF(
                Config!$C$4=4,
                IF(
                    AND(G25=0,H25=0),
                    0,
                    DEGREES(ATAN2(I25,G25))
                ),
                IF(
                    Config!$C$4=5,
                    IF(
                        AND(G25=0,H25=0),
                        0,
                        DEGREES(ACOS(I25))
                    ),
                    IF(
                        Config!$C$4=6,
                        IF(
                            AND(G25=0,H25=0),
                            0,
                            IF(
                                G25&gt;=0,
                                DEGREES(ACOS(2*I25-1)),
                                -DEGREES(ACOS(2*I25-1))
                            )
                        ),
                        IF(
                            AND(G25=0,H25=0),
                            0,
                            IF(
                                ((G25*Config!$C$16-H25*Config!$C$15))&lt;=0,
                                DEGREES(
                                    ACOS(
                                        MAX(
                                            -1,
                                            MIN(
                                                1,
                                                (I25-Config!$C$20)/Config!$C$21
                                            )
                                        )
                                    )
                                ),
                                -DEGREES(
                                    ACOS(
                                        MAX(
                                            -1,
                                            MIN(
                                                1,
                                                (I25-Config!$C$20)/Config!$C$21
                                            )
                                        )
                                    )
                                )
                            )
                        )
                    )
                )
            )
        )
    )
)</f>
        <v>30.000000433664731</v>
      </c>
      <c r="L25" s="79">
        <f>IF(
    I25="",
    "",
    IF(
        Config!$C$4&lt;=2,
        IF(
            AND(G25=0,H25=0),
            0,
            DEGREES(ATAN2(H25,G25))
        ),
        IF(
            Config!$C$4=3,
            IF(
                AND(G25=0,H25=0),
                0,
                DEGREES(ATAN2(G25,-H25))
            ),
            IF(
                Config!$C$4=4,
                0,
                IF(
                    Config!$C$4=5,
                    IF(
                        AND(G25=0,H25=0),
                        0,
                        DEGREES(ATAN2(H25,G25))
                    ),
                    IF(
                        Config!$C$4=6,
                        IF(
                            AND(G25=0,H25=0),
                            0,
                            DEGREES(ATAN2(H25,G25))
                        ),
                        0
                    )
                )
            )
        )
    )
)</f>
        <v>-90</v>
      </c>
      <c r="M25" s="47"/>
      <c r="N25" s="79">
        <f>IF(I25="","",
  IF(Config!$C$51=1, D25,
    IF(U25&lt;=2,
      (D25 - V25)*COS(RADIANS(L25)) + (E25 - W25)*SIN(RADIANS(L25)) + V25,
      IF(U25=3,
        ((D25 - V25)*COS(RADIANS(L25)) + (E25 - W25)*SIN(RADIANS(L25)))*COS(RADIANS(K25))
        + (F25 - X25)*SIN(RADIANS(K25)) + V25,
        IF(U25=4,
          (D25*COS(RADIANS(L25)) + E25*SIN(RADIANS(L25)) + V25) + Y25*SIN(RADIANS(K25)),
          IF(U25=5,
            D25 + Y25*SIN(RADIANS(K25))*COS(RADIANS(L25)),
            IF(U25=6,
              (D25*COS(RADIANS(L25)) + E25*SIN(RADIANS(L25)) + V25)
              + Y25*SIN(RADIANS(K25))*SIN(RADIANS(Config!$H$18)),
              COS(RADIANS(K25)) * (((D25 - V25)*COS(RADIANS(L25)) + (E25 - W25)*SIN(RADIANS(L25))))
              + SIN(RADIANS(K25)) * (
                Config!$C$16*(F25 - X25)
                - Config!$C$17*(-(D25 - V25)*SIN(RADIANS(L25)) + (E25 - W25)*COS(RADIANS(L25)))
              )
              + (1 - COS(RADIANS(K25))) * (
                ((D25 - V25)*COS(RADIANS(L25)) + (E25 - W25)*SIN(RADIANS(L25)))*Config!$C$15
                + (-(D25 - V25)*SIN(RADIANS(L25)) + (E25 - W25)*COS(RADIANS(L25)))*Config!$C$16
                + (F25 - X25)*Config!$C$17
              ) * Config!$C$15
              + V25
            )
          )
        )
      )
    )
  )
)</f>
        <v>-59.542500000000004</v>
      </c>
      <c r="O25" s="79">
        <f>IF(I25="","",
  IF(Config!$C$51=1, E25,
    IF(U25 &lt;= 2,
      (-(D25 - V25) * SIN(RADIANS(L25)) + (E25 - W25) * COS(RADIANS(L25))) * COS(RADIANS(K25))
      + (F25 - X25) * SIN(RADIANS(K25))
      + W25,
      IF(U25 = 3,
        (-(D25 - V25) * SIN(RADIANS(L25)) + (E25 - W25) * COS(RADIANS(L25)))
        + W25,
        IF(U25 = 4,
          -(D25) * SIN(RADIANS(L25)) + (E25) * COS(RADIANS(L25))
          + W25,
          IF(U25 = 5,
            E25 + Y25 * SIN(RADIANS(K25)) * SIN(RADIANS(L25)),
            IF(U25 = 6,
              (-(D25) * SIN(RADIANS(L25)) + (E25) * COS(RADIANS(L25)) + W25)
              + Y25 * (1 - COS(RADIANS(K25))) * SIN(RADIANS(Config!$H$18)) * COS(RADIANS(Config!$H$18)),
              COS(RADIANS(K25)) * (-(D25 - V25) * SIN(RADIANS(L25)) + (E25 - W25) * COS(RADIANS(L25)))
              + SIN(RADIANS(K25)) * (
                Config!$C$17 * ((D25 - V25) * COS(RADIANS(L25)) + (E25 - W25) * SIN(RADIANS(L25)))
                - Config!$C$15 * (F25 - X25)
              )
              + (1 - COS(RADIANS(K25))) * (
                ((D25 - V25) * COS(RADIANS(L25)) + (E25 - W25) * SIN(RADIANS(L25))) * Config!$C$15
                + (-(D25 - V25) * SIN(RADIANS(L25)) + (E25 - W25) * COS(RADIANS(L25))) * Config!$C$16
                + (F25 - X25) * Config!$C$17
              ) * Config!$C$16
              + W25
            )
          )
        )
      )
    )
  )
)</f>
        <v>-34.20689603850056</v>
      </c>
      <c r="P25" s="79">
        <f>IF(I25="","",
  IF(Config!$C$51=1, F25,
    IF(U25 &lt;= 2,
      -((-(D25 - V25) * SIN(RADIANS(L25)) + (E25 - W25) * COS(RADIANS(L25)))) * SIN(RADIANS(K25))
      + (F25 - X25) * COS(RADIANS(K25))
      + X25,
      IF(U25 = 3,
        -(((D25 - V25) * COS(RADIANS(L25)) + (E25 - W25) * SIN(RADIANS(L25)))) * SIN(RADIANS(K25))
        + (F25 - X25) * COS(RADIANS(K25))
        + X25,
        IF(U25 = 4,
          (F25 + X25) - Y25 * (1 - COS(RADIANS(K25))),
          IF(U25 = 5,
            F25 - Y25 * (1 - COS(RADIANS(K25))),
            IF(U25 = 6,
              (F25 + X25) - Y25 * SIN(RADIANS(Config!$H$18)) * SIN(RADIANS(Config!$H$18)) * (1 - COS(RADIANS(K25))),
              COS(RADIANS(K25)) * (F25 - X25)
              + SIN(RADIANS(K25)) * (
                Config!$C$15 * (-(D25 - V25) * SIN(RADIANS(L25)) + (E25 - W25) * COS(RADIANS(L25)))
                - Config!$C$16 * ((D25 - V25) * COS(RADIANS(L25)) + (E25 - W25) * SIN(RADIANS(L25)))
              )
              + (1 - COS(RADIANS(K25))) * (
                ((D25 - V25) * COS(RADIANS(L25)) + (E25 - W25) * SIN(RADIANS(L25))) * Config!$C$15
                + (-(D25 - V25) * SIN(RADIANS(L25)) + (E25 - W25) * COS(RADIANS(L25))) * Config!$C$16
                + (F25 - X25) * Config!$C$17
              ) * Config!$C$17
              + X25
            )
          )
        )
      )
    )
  )
)</f>
        <v>111.33131689148033</v>
      </c>
      <c r="Q25" s="47"/>
      <c r="R25" s="95" t="str">
        <f>IF(I25="","",
  IF(OR(
    K25 &lt; IF(Config!$C$4=1,Config!$C$34,
      IF(Config!$C$4=2,Config!$D$34,
        IF(Config!$C$4=3,Config!$E$34,
          IF(Config!$C$4=4,Config!$F$34,
            IF(Config!$C$4=5,Config!$G$34,
              IF(Config!$C$4=6,Config!$H$34,Config!$I$34)
            )
          )
        )
      )
    ),
    K25 &gt; IF(Config!$C$4=1,Config!$C$35,
      IF(Config!$C$4=2,Config!$D$35,
        IF(Config!$C$4=3,Config!$E$35,
          IF(Config!$C$4=4,Config!$F$35,
            IF(Config!$C$4=5,Config!$G$35,
              IF(Config!$C$4=6,Config!$H$35,Config!$I$35)
            )
          )
        )
      )
    )
  ),
    "⚠ OUT OF RANGE",
    "OK"
  )
)</f>
        <v>⚠ OUT OF RANGE</v>
      </c>
      <c r="S25" s="95" t="str">
        <f>IF(I25="","",
  IF(OR(
    L25 &lt; IF(Config!$C$4=1,Config!$C$36,
      IF(Config!$C$4=2,Config!$D$36,
        IF(Config!$C$4=3,Config!$E$36,
          IF(Config!$C$4=4,Config!$F$36,
            IF(Config!$C$4=5,Config!$G$36,
              IF(Config!$C$4=6,Config!$H$36,Config!$I$36)
            )
          )
        )
      )
    ),
    L25 &gt; IF(Config!$C$4=1,Config!$C$37,
      IF(Config!$C$4=2,Config!$D$37,
        IF(Config!$C$4=3,Config!$E$37,
          IF(Config!$C$4=4,Config!$F$37,
            IF(Config!$C$4=5,Config!$G$37,
              IF(Config!$C$4=6,Config!$H$37,Config!$I$37)
            )
          )
        )
      )
    )
  ),
    "⚠ OUT OF RANGE",
    "OK"
  )
)</f>
        <v>OK</v>
      </c>
      <c r="T25" s="47"/>
      <c r="U25" s="79">
        <f>Config!$C$4</f>
        <v>1</v>
      </c>
      <c r="V25" s="79">
        <f>IF(U25=1, Config!$C$27,
  IF(U25=2, Config!$D$27,
    IF(U25=3, Config!$E$27,
      IF(U25=4, Config!$F$27,
        IF(U25=5, Config!$G$27,
          IF(U25=6, Config!$H$27,
            Config!$I$27
          )
        )
      )
    )
  )
)</f>
        <v>0</v>
      </c>
      <c r="W25" s="79">
        <f>IF(U25=1, Config!$C$28,
  IF(U25=2, Config!$D$28,
    IF(U25=3, Config!$E$28,
      IF(U25=4, Config!$F$28,
        IF(U25=5, Config!$G$28,
          IF(U25=6, Config!$H$28,
            Config!$I$28
          )
        )
      )
    )
  )
)</f>
        <v>0</v>
      </c>
      <c r="X25" s="79">
        <f>IF(U25=1, Config!$C$29,
  IF(U25=2, Config!$D$29,
    IF(U25=3, Config!$E$29,
      IF(U25=4, Config!$F$29,
        IF(U25=5, Config!$G$29,
          IF(U25=6, Config!$H$29,
            Config!$I$29
          )
        )
      )
    )
  )
)</f>
        <v>0</v>
      </c>
      <c r="Y25" s="79">
        <f>IF(U25=1, Config!$C$30,
  IF(U25=2, Config!$D$30,
    IF(U25=3, Config!$E$30,
      IF(U25=4, Config!$F$30,
        IF(U25=5, Config!$G$30,
          IF(U25=6, Config!$H$30,
            Config!$I$30
          )
        )
      )
    )
  )
)</f>
        <v>0</v>
      </c>
      <c r="AA25" s="79">
        <f t="shared" si="0"/>
        <v>-30.000000433664731</v>
      </c>
      <c r="AB25" s="79">
        <f t="shared" si="1"/>
        <v>90</v>
      </c>
      <c r="AC25" s="72"/>
      <c r="AD25" s="79">
        <f>IF(I25="","",
  IF(Config!$C$51=1, D25,
    IF(U25&lt;=2,
      (D25 - V25)*COS(RADIANS(AB25)) + (E25 - W25)*SIN(RADIANS(AB25)) + V25,
      IF(U25=3,
        ((D25 - V25)*COS(RADIANS(AB25)) + (E25 - W25)*SIN(RADIANS(AB25)))*COS(RADIANS(AA25))
        + (F25 - X25)*SIN(RADIANS(AA25)) + V25,
        IF(U25=4,
          (D25*COS(RADIANS(AB25)) + E25*SIN(RADIANS(AB25)) + V25) + Y25*SIN(RADIANS(AA25)),
          IF(U25=5,
            D25 + Y25*SIN(RADIANS(AA25))*COS(RADIANS(AB25)),
            IF(U25=6,
              (D25*COS(RADIANS(AB25)) + E25*SIN(RADIANS(AB25)) + V25)
              + Y25*SIN(RADIANS(AA25))*SIN(RADIANS(Config!$H$18)),
              COS(RADIANS(AA25)) * (((D25 - V25)*COS(RADIANS(AB25)) + (E25 - W25)*SIN(RADIANS(AB25))))
              + SIN(RADIANS(AA25)) * (
                Config!$C$16*(F25 - X25)
                - Config!$C$17*(-(D25 - V25)*SIN(RADIANS(AB25)) + (E25 - W25)*COS(RADIANS(AB25)))
              )
              + (1 - COS(RADIANS(AA25))) * (
                ((D25 - V25)*COS(RADIANS(AB25)) + (E25 - W25)*SIN(RADIANS(AB25)))*Config!$C$15
                + (-(D25 - V25)*SIN(RADIANS(AB25)) + (E25 - W25)*COS(RADIANS(AB25)))*Config!$C$16
                + (F25 - X25)*Config!$C$17
              ) * Config!$C$15
              + V25
            )
          )
        )
      )
    )
  )
)</f>
        <v>59.54249999999999</v>
      </c>
      <c r="AE25" s="79">
        <f>IF(I25="","",
  IF(Config!$C$51=1, E25,
    IF(U25 &lt;= 2,
      (-(D25 - V25) * SIN(RADIANS(AB25)) + (E25 - W25) * COS(RADIANS(AB25))) * COS(RADIANS(AA25))
      + (F25 - X25) * SIN(RADIANS(AA25))
      + W25,
      IF(U25 = 3,
        (-(D25 - V25) * SIN(RADIANS(AB25)) + (E25 - W25) * COS(RADIANS(AB25)))
        + W25,
        IF(U25 = 4,
          -(D25) * SIN(RADIANS(AB25)) + (E25) * COS(RADIANS(AB25))
          + W25,
          IF(U25 = 5,
            E25 + Y25 * SIN(RADIANS(AA25)) * SIN(RADIANS(AB25)),
            IF(U25 = 6,
              (-(D25) * SIN(RADIANS(AB25)) + (E25) * COS(RADIANS(AB25)) + W25)
              + Y25 * (1 - COS(RADIANS(AA25))) * SIN(RADIANS(Config!$H$18)) * COS(RADIANS(Config!$H$18)),
              COS(RADIANS(AA25)) * (-(D25 - V25) * SIN(RADIANS(AB25)) + (E25 - W25) * COS(RADIANS(AB25)))
              + SIN(RADIANS(AA25)) * (
                Config!$C$17 * ((D25 - V25) * COS(RADIANS(AB25)) + (E25 - W25) * SIN(RADIANS(AB25)))
                - Config!$C$15 * (F25 - X25)
              )
              + (1 - COS(RADIANS(AA25))) * (
                ((D25 - V25) * COS(RADIANS(AB25)) + (E25 - W25) * SIN(RADIANS(AB25))) * Config!$C$15
                + (-(D25 - V25) * SIN(RADIANS(AB25)) + (E25 - W25) * COS(RADIANS(AB25))) * Config!$C$16
                + (F25 - X25) * Config!$C$17
              ) * Config!$C$16
              + W25
            )
          )
        )
      )
    )
  )
)</f>
        <v>34.20689603850056</v>
      </c>
      <c r="AF25" s="79">
        <f>IF(I25="","",
  IF(Config!$C$51=1, F25,
    IF(U25 &lt;= 2,
      -((-(D25 - V25) * SIN(RADIANS(AB25)) + (E25 - W25) * COS(RADIANS(AB25)))) * SIN(RADIANS(AA25))
      + (F25 - X25) * COS(RADIANS(AA25))
      + X25,
      IF(U25 = 3,
        -(((D25 - V25) * COS(RADIANS(AB25)) + (E25 - W25) * SIN(RADIANS(AB25)))) * SIN(RADIANS(AA25))
        + (F25 - X25) * COS(RADIANS(AA25))
        + X25,
        IF(U25 = 4,
          (F25 + X25) - Y25 * (1 - COS(RADIANS(AA25))),
          IF(U25 = 5,
            F25 - Y25 * (1 - COS(RADIANS(AA25))),
            IF(U25 = 6,
              (F25 + X25) - Y25 * SIN(RADIANS(Config!$H$18)) * SIN(RADIANS(Config!$H$18)) * (1 - COS(RADIANS(AA25))),
              COS(RADIANS(AA25)) * (F25 - X25)
              + SIN(RADIANS(AA25)) * (
                Config!$C$15 * (-(D25 - V25) * SIN(RADIANS(AB25)) + (E25 - W25) * COS(RADIANS(AB25)))
                - Config!$C$16 * ((D25 - V25) * COS(RADIANS(AB25)) + (E25 - W25) * SIN(RADIANS(AB25)))
              )
              + (1 - COS(RADIANS(AA25))) * (
                ((D25 - V25) * COS(RADIANS(AB25)) + (E25 - W25) * SIN(RADIANS(AB25))) * Config!$C$15
                + (-(D25 - V25) * SIN(RADIANS(AB25)) + (E25 - W25) * COS(RADIANS(AB25))) * Config!$C$16
                + (F25 - X25) * Config!$C$17
              ) * Config!$C$17
              + X25
            )
          )
        )
      )
    )
  )
)</f>
        <v>111.33131689148033</v>
      </c>
      <c r="AG25" s="72"/>
      <c r="AH25" s="96" t="str">
        <f>IF(I25="","",
  IF(OR(AA25="N/A", AA25=""),
    "N/A",
    IF(OR(
      AA25 &lt; IF(Config!$C$4=1,Config!$C$34,
        IF(Config!$C$4=2,Config!$D$34,
          IF(Config!$C$4=3,Config!$E$34,
            IF(Config!$C$4=4,Config!$F$34,
              IF(Config!$C$4=5,Config!$G$34,
                IF(Config!$C$4=6,Config!$H$34,Config!$I$34)
              )
            )
          )
        )
      ),
      AA25 &gt; IF(Config!$C$4=1,Config!$C$35,
        IF(Config!$C$4=2,Config!$D$35,
          IF(Config!$C$4=3,Config!$E$35,
            IF(Config!$C$4=4,Config!$F$35,
              IF(Config!$C$4=5,Config!$G$35,
                IF(Config!$C$4=6,Config!$H$35,Config!$I$35)
              )
            )
          )
        )
      )
    ),
    "⚠ OUT OF RANGE",
    "OK"
    )
  )
)</f>
        <v>OK</v>
      </c>
      <c r="AI25" s="96" t="str">
        <f>IF(I25="","",
  IF(OR(AB25="N/A", AB25=""),
    "N/A",
    IF(OR(
      AB25 &lt; IF(Config!$C$4=1,Config!$C$36,
        IF(Config!$C$4=2,Config!$D$36,
          IF(Config!$C$4=3,Config!$E$36,
            IF(Config!$C$4=4,Config!$F$36,
              IF(Config!$C$4=5,Config!$G$36,
                IF(Config!$C$4=6,Config!$H$36,Config!$I$36)
              )
            )
          )
        )
      ),
      AB25 &gt; IF(Config!$C$4=1,Config!$C$37,
        IF(Config!$C$4=2,Config!$D$37,
          IF(Config!$C$4=3,Config!$E$37,
            IF(Config!$C$4=4,Config!$F$37,
              IF(Config!$C$4=5,Config!$G$37,
                IF(Config!$C$4=6,Config!$H$37,Config!$I$37)
              )
            )
          )
        )
      )
    ),
    "⚠ OUT OF RANGE",
    "OK"
    )
  )
)</f>
        <v>OK</v>
      </c>
    </row>
    <row r="26" spans="1:35" ht="18" customHeight="1" x14ac:dyDescent="0.25">
      <c r="A26" s="43"/>
      <c r="B26" s="47">
        <v>22</v>
      </c>
      <c r="C26" s="71" t="s">
        <v>309</v>
      </c>
      <c r="D26" s="64">
        <v>-53.5717</v>
      </c>
      <c r="E26" s="64">
        <v>-102.6567</v>
      </c>
      <c r="F26" s="64">
        <v>72.086299999999994</v>
      </c>
      <c r="G26" s="64">
        <v>-0.26726119999999998</v>
      </c>
      <c r="H26" s="64">
        <v>-0.26726119999999998</v>
      </c>
      <c r="I26" s="64">
        <v>0.92582010000000003</v>
      </c>
      <c r="J26" s="47"/>
      <c r="K26" s="79">
        <f>IF(
    I26="",
    "",
    IF(
        Config!$C$4&lt;=2,
        IF(
            AND(G26=0,H26=0),
            0,
            IF(
                H26&gt;=0,
                DEGREES(ACOS(I26)),
                -DEGREES(ACOS(I26))
            )
        ),
        IF(
            Config!$C$4=3,
            IF(
                AND(G26=0,H26=0),
                0,
                IF(
                    G26&gt;=0,
                    DEGREES(ACOS(I26)),
                    -DEGREES(ACOS(I26))
                )
            ),
            IF(
                Config!$C$4=4,
                IF(
                    AND(G26=0,H26=0),
                    0,
                    DEGREES(ATAN2(I26,G26))
                ),
                IF(
                    Config!$C$4=5,
                    IF(
                        AND(G26=0,H26=0),
                        0,
                        DEGREES(ACOS(I26))
                    ),
                    IF(
                        Config!$C$4=6,
                        IF(
                            AND(G26=0,H26=0),
                            0,
                            IF(
                                G26&gt;=0,
                                DEGREES(ACOS(2*I26-1)),
                                -DEGREES(ACOS(2*I26-1))
                            )
                        ),
                        IF(
                            AND(G26=0,H26=0),
                            0,
                            IF(
                                ((G26*Config!$C$16-H26*Config!$C$15))&lt;=0,
                                DEGREES(
                                    ACOS(
                                        MAX(
                                            -1,
                                            MIN(
                                                1,
                                                (I26-Config!$C$20)/Config!$C$21
                                            )
                                        )
                                    )
                                ),
                                -DEGREES(
                                    ACOS(
                                        MAX(
                                            -1,
                                            MIN(
                                                1,
                                                (I26-Config!$C$20)/Config!$C$21
                                            )
                                        )
                                    )
                                )
                            )
                        )
                    )
                )
            )
        )
    )
)</f>
        <v>-22.207654264117462</v>
      </c>
      <c r="L26" s="79">
        <f>IF(
    I26="",
    "",
    IF(
        Config!$C$4&lt;=2,
        IF(
            AND(G26=0,H26=0),
            0,
            DEGREES(ATAN2(H26,G26))
        ),
        IF(
            Config!$C$4=3,
            IF(
                AND(G26=0,H26=0),
                0,
                DEGREES(ATAN2(G26,-H26))
            ),
            IF(
                Config!$C$4=4,
                0,
                IF(
                    Config!$C$4=5,
                    IF(
                        AND(G26=0,H26=0),
                        0,
                        DEGREES(ATAN2(H26,G26))
                    ),
                    IF(
                        Config!$C$4=6,
                        IF(
                            AND(G26=0,H26=0),
                            0,
                            DEGREES(ATAN2(H26,G26))
                        ),
                        0
                    )
                )
            )
        )
    )
)</f>
        <v>-135</v>
      </c>
      <c r="M26" s="47"/>
      <c r="N26" s="79">
        <f>IF(I26="","",
  IF(Config!$C$51=1, D26,
    IF(U26&lt;=2,
      (D26 - V26)*COS(RADIANS(L26)) + (E26 - W26)*SIN(RADIANS(L26)) + V26,
      IF(U26=3,
        ((D26 - V26)*COS(RADIANS(L26)) + (E26 - W26)*SIN(RADIANS(L26)))*COS(RADIANS(K26))
        + (F26 - X26)*SIN(RADIANS(K26)) + V26,
        IF(U26=4,
          (D26*COS(RADIANS(L26)) + E26*SIN(RADIANS(L26)) + V26) + Y26*SIN(RADIANS(K26)),
          IF(U26=5,
            D26 + Y26*SIN(RADIANS(K26))*COS(RADIANS(L26)),
            IF(U26=6,
              (D26*COS(RADIANS(L26)) + E26*SIN(RADIANS(L26)) + V26)
              + Y26*SIN(RADIANS(K26))*SIN(RADIANS(Config!$H$18)),
              COS(RADIANS(K26)) * (((D26 - V26)*COS(RADIANS(L26)) + (E26 - W26)*SIN(RADIANS(L26))))
              + SIN(RADIANS(K26)) * (
                Config!$C$16*(F26 - X26)
                - Config!$C$17*(-(D26 - V26)*SIN(RADIANS(L26)) + (E26 - W26)*COS(RADIANS(L26)))
              )
              + (1 - COS(RADIANS(K26))) * (
                ((D26 - V26)*COS(RADIANS(L26)) + (E26 - W26)*SIN(RADIANS(L26)))*Config!$C$15
                + (-(D26 - V26)*SIN(RADIANS(L26)) + (E26 - W26)*COS(RADIANS(L26)))*Config!$C$16
                + (F26 - X26)*Config!$C$17
              ) * Config!$C$15
              + V26
            )
          )
        )
      )
    )
  )
)</f>
        <v>110.47016105392441</v>
      </c>
      <c r="O26" s="79">
        <f>IF(I26="","",
  IF(Config!$C$51=1, E26,
    IF(U26 &lt;= 2,
      (-(D26 - V26) * SIN(RADIANS(L26)) + (E26 - W26) * COS(RADIANS(L26))) * COS(RADIANS(K26))
      + (F26 - X26) * SIN(RADIANS(K26))
      + W26,
      IF(U26 = 3,
        (-(D26 - V26) * SIN(RADIANS(L26)) + (E26 - W26) * COS(RADIANS(L26)))
        + W26,
        IF(U26 = 4,
          -(D26) * SIN(RADIANS(L26)) + (E26) * COS(RADIANS(L26))
          + W26,
          IF(U26 = 5,
            E26 + Y26 * SIN(RADIANS(K26)) * SIN(RADIANS(L26)),
            IF(U26 = 6,
              (-(D26) * SIN(RADIANS(L26)) + (E26) * COS(RADIANS(L26)) + W26)
              + Y26 * (1 - COS(RADIANS(K26))) * SIN(RADIANS(Config!$H$18)) * COS(RADIANS(Config!$H$18)),
              COS(RADIANS(K26)) * (-(D26 - V26) * SIN(RADIANS(L26)) + (E26 - W26) * COS(RADIANS(L26)))
              + SIN(RADIANS(K26)) * (
                Config!$C$17 * ((D26 - V26) * COS(RADIANS(L26)) + (E26 - W26) * SIN(RADIANS(L26)))
                - Config!$C$15 * (F26 - X26)
              )
              + (1 - COS(RADIANS(K26))) * (
                ((D26 - V26) * COS(RADIANS(L26)) + (E26 - W26) * SIN(RADIANS(L26))) * Config!$C$15
                + (-(D26 - V26) * SIN(RADIANS(L26)) + (E26 - W26) * COS(RADIANS(L26))) * Config!$C$16
                + (F26 - X26) * Config!$C$17
              ) * Config!$C$16
              + W26
            )
          )
        )
      )
    )
  )
)</f>
        <v>4.8876150840720207</v>
      </c>
      <c r="P26" s="79">
        <f>IF(I26="","",
  IF(Config!$C$51=1, F26,
    IF(U26 &lt;= 2,
      -((-(D26 - V26) * SIN(RADIANS(L26)) + (E26 - W26) * COS(RADIANS(L26)))) * SIN(RADIANS(K26))
      + (F26 - X26) * COS(RADIANS(K26))
      + X26,
      IF(U26 = 3,
        -(((D26 - V26) * COS(RADIANS(L26)) + (E26 - W26) * SIN(RADIANS(L26)))) * SIN(RADIANS(K26))
        + (F26 - X26) * COS(RADIANS(K26))
        + X26,
        IF(U26 = 4,
          (F26 + X26) - Y26 * (1 - COS(RADIANS(K26))),
          IF(U26 = 5,
            F26 - Y26 * (1 - COS(RADIANS(K26))),
            IF(U26 = 6,
              (F26 + X26) - Y26 * SIN(RADIANS(Config!$H$18)) * SIN(RADIANS(Config!$H$18)) * (1 - COS(RADIANS(K26))),
              COS(RADIANS(K26)) * (F26 - X26)
              + SIN(RADIANS(K26)) * (
                Config!$C$15 * (-(D26 - V26) * SIN(RADIANS(L26)) + (E26 - W26) * COS(RADIANS(L26)))
                - Config!$C$16 * ((D26 - V26) * COS(RADIANS(L26)) + (E26 - W26) * SIN(RADIANS(L26)))
              )
              + (1 - COS(RADIANS(K26))) * (
                ((D26 - V26) * COS(RADIANS(L26)) + (E26 - W26) * SIN(RADIANS(L26))) * Config!$C$15
                + (-(D26 - V26) * SIN(RADIANS(L26)) + (E26 - W26) * COS(RADIANS(L26))) * Config!$C$16
                + (F26 - X26) * Config!$C$17
              ) * Config!$C$17
              + X26
            )
          )
        )
      )
    )
  )
)</f>
        <v>79.857463514564188</v>
      </c>
      <c r="Q26" s="47"/>
      <c r="R26" s="95" t="str">
        <f>IF(I26="","",
  IF(OR(
    K26 &lt; IF(Config!$C$4=1,Config!$C$34,
      IF(Config!$C$4=2,Config!$D$34,
        IF(Config!$C$4=3,Config!$E$34,
          IF(Config!$C$4=4,Config!$F$34,
            IF(Config!$C$4=5,Config!$G$34,
              IF(Config!$C$4=6,Config!$H$34,Config!$I$34)
            )
          )
        )
      )
    ),
    K26 &gt; IF(Config!$C$4=1,Config!$C$35,
      IF(Config!$C$4=2,Config!$D$35,
        IF(Config!$C$4=3,Config!$E$35,
          IF(Config!$C$4=4,Config!$F$35,
            IF(Config!$C$4=5,Config!$G$35,
              IF(Config!$C$4=6,Config!$H$35,Config!$I$35)
            )
          )
        )
      )
    )
  ),
    "⚠ OUT OF RANGE",
    "OK"
  )
)</f>
        <v>OK</v>
      </c>
      <c r="S26" s="95" t="str">
        <f>IF(I26="","",
  IF(OR(
    L26 &lt; IF(Config!$C$4=1,Config!$C$36,
      IF(Config!$C$4=2,Config!$D$36,
        IF(Config!$C$4=3,Config!$E$36,
          IF(Config!$C$4=4,Config!$F$36,
            IF(Config!$C$4=5,Config!$G$36,
              IF(Config!$C$4=6,Config!$H$36,Config!$I$36)
            )
          )
        )
      )
    ),
    L26 &gt; IF(Config!$C$4=1,Config!$C$37,
      IF(Config!$C$4=2,Config!$D$37,
        IF(Config!$C$4=3,Config!$E$37,
          IF(Config!$C$4=4,Config!$F$37,
            IF(Config!$C$4=5,Config!$G$37,
              IF(Config!$C$4=6,Config!$H$37,Config!$I$37)
            )
          )
        )
      )
    )
  ),
    "⚠ OUT OF RANGE",
    "OK"
  )
)</f>
        <v>OK</v>
      </c>
      <c r="T26" s="47"/>
      <c r="U26" s="79">
        <f>Config!$C$4</f>
        <v>1</v>
      </c>
      <c r="V26" s="79">
        <f>IF(U26=1, Config!$C$27,
  IF(U26=2, Config!$D$27,
    IF(U26=3, Config!$E$27,
      IF(U26=4, Config!$F$27,
        IF(U26=5, Config!$G$27,
          IF(U26=6, Config!$H$27,
            Config!$I$27
          )
        )
      )
    )
  )
)</f>
        <v>0</v>
      </c>
      <c r="W26" s="79">
        <f>IF(U26=1, Config!$C$28,
  IF(U26=2, Config!$D$28,
    IF(U26=3, Config!$E$28,
      IF(U26=4, Config!$F$28,
        IF(U26=5, Config!$G$28,
          IF(U26=6, Config!$H$28,
            Config!$I$28
          )
        )
      )
    )
  )
)</f>
        <v>0</v>
      </c>
      <c r="X26" s="79">
        <f>IF(U26=1, Config!$C$29,
  IF(U26=2, Config!$D$29,
    IF(U26=3, Config!$E$29,
      IF(U26=4, Config!$F$29,
        IF(U26=5, Config!$G$29,
          IF(U26=6, Config!$H$29,
            Config!$I$29
          )
        )
      )
    )
  )
)</f>
        <v>0</v>
      </c>
      <c r="Y26" s="79">
        <f>IF(U26=1, Config!$C$30,
  IF(U26=2, Config!$D$30,
    IF(U26=3, Config!$E$30,
      IF(U26=4, Config!$F$30,
        IF(U26=5, Config!$G$30,
          IF(U26=6, Config!$H$30,
            Config!$I$30
          )
        )
      )
    )
  )
)</f>
        <v>0</v>
      </c>
      <c r="AA26" s="79">
        <f t="shared" si="0"/>
        <v>22.207654264117462</v>
      </c>
      <c r="AB26" s="79">
        <f t="shared" si="1"/>
        <v>45</v>
      </c>
      <c r="AC26" s="72"/>
      <c r="AD26" s="79">
        <f>IF(I26="","",
  IF(Config!$C$51=1, D26,
    IF(U26&lt;=2,
      (D26 - V26)*COS(RADIANS(AB26)) + (E26 - W26)*SIN(RADIANS(AB26)) + V26,
      IF(U26=3,
        ((D26 - V26)*COS(RADIANS(AB26)) + (E26 - W26)*SIN(RADIANS(AB26)))*COS(RADIANS(AA26))
        + (F26 - X26)*SIN(RADIANS(AA26)) + V26,
        IF(U26=4,
          (D26*COS(RADIANS(AB26)) + E26*SIN(RADIANS(AB26)) + V26) + Y26*SIN(RADIANS(AA26)),
          IF(U26=5,
            D26 + Y26*SIN(RADIANS(AA26))*COS(RADIANS(AB26)),
            IF(U26=6,
              (D26*COS(RADIANS(AB26)) + E26*SIN(RADIANS(AB26)) + V26)
              + Y26*SIN(RADIANS(AA26))*SIN(RADIANS(Config!$H$18)),
              COS(RADIANS(AA26)) * (((D26 - V26)*COS(RADIANS(AB26)) + (E26 - W26)*SIN(RADIANS(AB26))))
              + SIN(RADIANS(AA26)) * (
                Config!$C$16*(F26 - X26)
                - Config!$C$17*(-(D26 - V26)*SIN(RADIANS(AB26)) + (E26 - W26)*COS(RADIANS(AB26)))
              )
              + (1 - COS(RADIANS(AA26))) * (
                ((D26 - V26)*COS(RADIANS(AB26)) + (E26 - W26)*SIN(RADIANS(AB26)))*Config!$C$15
                + (-(D26 - V26)*SIN(RADIANS(AB26)) + (E26 - W26)*COS(RADIANS(AB26)))*Config!$C$16
                + (F26 - X26)*Config!$C$17
              ) * Config!$C$15
              + V26
            )
          )
        )
      )
    )
  )
)</f>
        <v>-110.47016105392441</v>
      </c>
      <c r="AE26" s="79">
        <f>IF(I26="","",
  IF(Config!$C$51=1, E26,
    IF(U26 &lt;= 2,
      (-(D26 - V26) * SIN(RADIANS(AB26)) + (E26 - W26) * COS(RADIANS(AB26))) * COS(RADIANS(AA26))
      + (F26 - X26) * SIN(RADIANS(AA26))
      + W26,
      IF(U26 = 3,
        (-(D26 - V26) * SIN(RADIANS(AB26)) + (E26 - W26) * COS(RADIANS(AB26)))
        + W26,
        IF(U26 = 4,
          -(D26) * SIN(RADIANS(AB26)) + (E26) * COS(RADIANS(AB26))
          + W26,
          IF(U26 = 5,
            E26 + Y26 * SIN(RADIANS(AA26)) * SIN(RADIANS(AB26)),
            IF(U26 = 6,
              (-(D26) * SIN(RADIANS(AB26)) + (E26) * COS(RADIANS(AB26)) + W26)
              + Y26 * (1 - COS(RADIANS(AA26))) * SIN(RADIANS(Config!$H$18)) * COS(RADIANS(Config!$H$18)),
              COS(RADIANS(AA26)) * (-(D26 - V26) * SIN(RADIANS(AB26)) + (E26 - W26) * COS(RADIANS(AB26)))
              + SIN(RADIANS(AA26)) * (
                Config!$C$17 * ((D26 - V26) * COS(RADIANS(AB26)) + (E26 - W26) * SIN(RADIANS(AB26)))
                - Config!$C$15 * (F26 - X26)
              )
              + (1 - COS(RADIANS(AA26))) * (
                ((D26 - V26) * COS(RADIANS(AB26)) + (E26 - W26) * SIN(RADIANS(AB26))) * Config!$C$15
                + (-(D26 - V26) * SIN(RADIANS(AB26)) + (E26 - W26) * COS(RADIANS(AB26))) * Config!$C$16
                + (F26 - X26) * Config!$C$17
              ) * Config!$C$16
              + W26
            )
          )
        )
      )
    )
  )
)</f>
        <v>-4.887615084072042</v>
      </c>
      <c r="AF26" s="79">
        <f>IF(I26="","",
  IF(Config!$C$51=1, F26,
    IF(U26 &lt;= 2,
      -((-(D26 - V26) * SIN(RADIANS(AB26)) + (E26 - W26) * COS(RADIANS(AB26)))) * SIN(RADIANS(AA26))
      + (F26 - X26) * COS(RADIANS(AA26))
      + X26,
      IF(U26 = 3,
        -(((D26 - V26) * COS(RADIANS(AB26)) + (E26 - W26) * SIN(RADIANS(AB26)))) * SIN(RADIANS(AA26))
        + (F26 - X26) * COS(RADIANS(AA26))
        + X26,
        IF(U26 = 4,
          (F26 + X26) - Y26 * (1 - COS(RADIANS(AA26))),
          IF(U26 = 5,
            F26 - Y26 * (1 - COS(RADIANS(AA26))),
            IF(U26 = 6,
              (F26 + X26) - Y26 * SIN(RADIANS(Config!$H$18)) * SIN(RADIANS(Config!$H$18)) * (1 - COS(RADIANS(AA26))),
              COS(RADIANS(AA26)) * (F26 - X26)
              + SIN(RADIANS(AA26)) * (
                Config!$C$15 * (-(D26 - V26) * SIN(RADIANS(AB26)) + (E26 - W26) * COS(RADIANS(AB26)))
                - Config!$C$16 * ((D26 - V26) * COS(RADIANS(AB26)) + (E26 - W26) * SIN(RADIANS(AB26)))
              )
              + (1 - COS(RADIANS(AA26))) * (
                ((D26 - V26) * COS(RADIANS(AB26)) + (E26 - W26) * SIN(RADIANS(AB26))) * Config!$C$15
                + (-(D26 - V26) * SIN(RADIANS(AB26)) + (E26 - W26) * COS(RADIANS(AB26))) * Config!$C$16
                + (F26 - X26) * Config!$C$17
              ) * Config!$C$17
              + X26
            )
          )
        )
      )
    )
  )
)</f>
        <v>79.857463514564188</v>
      </c>
      <c r="AG26" s="72"/>
      <c r="AH26" s="96" t="str">
        <f>IF(I26="","",
  IF(OR(AA26="N/A", AA26=""),
    "N/A",
    IF(OR(
      AA26 &lt; IF(Config!$C$4=1,Config!$C$34,
        IF(Config!$C$4=2,Config!$D$34,
          IF(Config!$C$4=3,Config!$E$34,
            IF(Config!$C$4=4,Config!$F$34,
              IF(Config!$C$4=5,Config!$G$34,
                IF(Config!$C$4=6,Config!$H$34,Config!$I$34)
              )
            )
          )
        )
      ),
      AA26 &gt; IF(Config!$C$4=1,Config!$C$35,
        IF(Config!$C$4=2,Config!$D$35,
          IF(Config!$C$4=3,Config!$E$35,
            IF(Config!$C$4=4,Config!$F$35,
              IF(Config!$C$4=5,Config!$G$35,
                IF(Config!$C$4=6,Config!$H$35,Config!$I$35)
              )
            )
          )
        )
      )
    ),
    "⚠ OUT OF RANGE",
    "OK"
    )
  )
)</f>
        <v>OK</v>
      </c>
      <c r="AI26" s="96" t="str">
        <f>IF(I26="","",
  IF(OR(AB26="N/A", AB26=""),
    "N/A",
    IF(OR(
      AB26 &lt; IF(Config!$C$4=1,Config!$C$36,
        IF(Config!$C$4=2,Config!$D$36,
          IF(Config!$C$4=3,Config!$E$36,
            IF(Config!$C$4=4,Config!$F$36,
              IF(Config!$C$4=5,Config!$G$36,
                IF(Config!$C$4=6,Config!$H$36,Config!$I$36)
              )
            )
          )
        )
      ),
      AB26 &gt; IF(Config!$C$4=1,Config!$C$37,
        IF(Config!$C$4=2,Config!$D$37,
          IF(Config!$C$4=3,Config!$E$37,
            IF(Config!$C$4=4,Config!$F$37,
              IF(Config!$C$4=5,Config!$G$37,
                IF(Config!$C$4=6,Config!$H$37,Config!$I$37)
              )
            )
          )
        )
      )
    ),
    "⚠ OUT OF RANGE",
    "OK"
    )
  )
)</f>
        <v>OK</v>
      </c>
    </row>
    <row r="27" spans="1:35" ht="18" customHeight="1" x14ac:dyDescent="0.25">
      <c r="A27" s="43"/>
      <c r="B27" s="47">
        <v>23</v>
      </c>
      <c r="C27" s="71"/>
      <c r="D27" s="64"/>
      <c r="E27" s="64"/>
      <c r="F27" s="64"/>
      <c r="G27" s="64"/>
      <c r="H27" s="64"/>
      <c r="I27" s="64"/>
      <c r="J27" s="47"/>
      <c r="K27" s="79" t="str">
        <f>IF(
    I27="",
    "",
    IF(
        Config!$C$4&lt;=2,
        IF(
            AND(G27=0,H27=0),
            0,
            IF(
                H27&gt;=0,
                DEGREES(ACOS(I27)),
                -DEGREES(ACOS(I27))
            )
        ),
        IF(
            Config!$C$4=3,
            IF(
                AND(G27=0,H27=0),
                0,
                IF(
                    G27&gt;=0,
                    DEGREES(ACOS(I27)),
                    -DEGREES(ACOS(I27))
                )
            ),
            IF(
                Config!$C$4=4,
                IF(
                    AND(G27=0,H27=0),
                    0,
                    DEGREES(ATAN2(I27,G27))
                ),
                IF(
                    Config!$C$4=5,
                    IF(
                        AND(G27=0,H27=0),
                        0,
                        DEGREES(ACOS(I27))
                    ),
                    IF(
                        Config!$C$4=6,
                        IF(
                            AND(G27=0,H27=0),
                            0,
                            IF(
                                G27&gt;=0,
                                DEGREES(ACOS(2*I27-1)),
                                -DEGREES(ACOS(2*I27-1))
                            )
                        ),
                        IF(
                            AND(G27=0,H27=0),
                            0,
                            IF(
                                ((G27*Config!$C$16-H27*Config!$C$15))&lt;=0,
                                DEGREES(
                                    ACOS(
                                        MAX(
                                            -1,
                                            MIN(
                                                1,
                                                (I27-Config!$C$20)/Config!$C$21
                                            )
                                        )
                                    )
                                ),
                                -DEGREES(
                                    ACOS(
                                        MAX(
                                            -1,
                                            MIN(
                                                1,
                                                (I27-Config!$C$20)/Config!$C$21
                                            )
                                        )
                                    )
                                )
                            )
                        )
                    )
                )
            )
        )
    )
)</f>
        <v/>
      </c>
      <c r="L27" s="79" t="str">
        <f>IF(
    I27="",
    "",
    IF(
        Config!$C$4&lt;=2,
        IF(
            AND(G27=0,H27=0),
            0,
            DEGREES(ATAN2(H27,G27))
        ),
        IF(
            Config!$C$4=3,
            IF(
                AND(G27=0,H27=0),
                0,
                DEGREES(ATAN2(G27,-H27))
            ),
            IF(
                Config!$C$4=4,
                0,
                IF(
                    Config!$C$4=5,
                    IF(
                        AND(G27=0,H27=0),
                        0,
                        DEGREES(ATAN2(H27,G27))
                    ),
                    IF(
                        Config!$C$4=6,
                        IF(
                            AND(G27=0,H27=0),
                            0,
                            DEGREES(ATAN2(H27,G27))
                        ),
                        0
                    )
                )
            )
        )
    )
)</f>
        <v/>
      </c>
      <c r="M27" s="47"/>
      <c r="N27" s="79" t="str">
        <f>IF(I27="","",
  IF(Config!$C$51=1, D27,
    IF(U27&lt;=2,
      (D27 - V27)*COS(RADIANS(L27)) + (E27 - W27)*SIN(RADIANS(L27)) + V27,
      IF(U27=3,
        ((D27 - V27)*COS(RADIANS(L27)) + (E27 - W27)*SIN(RADIANS(L27)))*COS(RADIANS(K27))
        + (F27 - X27)*SIN(RADIANS(K27)) + V27,
        IF(U27=4,
          (D27*COS(RADIANS(L27)) + E27*SIN(RADIANS(L27)) + V27) + Y27*SIN(RADIANS(K27)),
          IF(U27=5,
            D27 + Y27*SIN(RADIANS(K27))*COS(RADIANS(L27)),
            IF(U27=6,
              (D27*COS(RADIANS(L27)) + E27*SIN(RADIANS(L27)) + V27)
              + Y27*SIN(RADIANS(K27))*SIN(RADIANS(Config!$H$18)),
              COS(RADIANS(K27)) * (((D27 - V27)*COS(RADIANS(L27)) + (E27 - W27)*SIN(RADIANS(L27))))
              + SIN(RADIANS(K27)) * (
                Config!$C$16*(F27 - X27)
                - Config!$C$17*(-(D27 - V27)*SIN(RADIANS(L27)) + (E27 - W27)*COS(RADIANS(L27)))
              )
              + (1 - COS(RADIANS(K27))) * (
                ((D27 - V27)*COS(RADIANS(L27)) + (E27 - W27)*SIN(RADIANS(L27)))*Config!$C$15
                + (-(D27 - V27)*SIN(RADIANS(L27)) + (E27 - W27)*COS(RADIANS(L27)))*Config!$C$16
                + (F27 - X27)*Config!$C$17
              ) * Config!$C$15
              + V27
            )
          )
        )
      )
    )
  )
)</f>
        <v/>
      </c>
      <c r="O27" s="79" t="str">
        <f>IF(I27="","",
  IF(Config!$C$51=1, E27,
    IF(U27 &lt;= 2,
      (-(D27 - V27) * SIN(RADIANS(L27)) + (E27 - W27) * COS(RADIANS(L27))) * COS(RADIANS(K27))
      + (F27 - X27) * SIN(RADIANS(K27))
      + W27,
      IF(U27 = 3,
        (-(D27 - V27) * SIN(RADIANS(L27)) + (E27 - W27) * COS(RADIANS(L27)))
        + W27,
        IF(U27 = 4,
          -(D27) * SIN(RADIANS(L27)) + (E27) * COS(RADIANS(L27))
          + W27,
          IF(U27 = 5,
            E27 + Y27 * SIN(RADIANS(K27)) * SIN(RADIANS(L27)),
            IF(U27 = 6,
              (-(D27) * SIN(RADIANS(L27)) + (E27) * COS(RADIANS(L27)) + W27)
              + Y27 * (1 - COS(RADIANS(K27))) * SIN(RADIANS(Config!$H$18)) * COS(RADIANS(Config!$H$18)),
              COS(RADIANS(K27)) * (-(D27 - V27) * SIN(RADIANS(L27)) + (E27 - W27) * COS(RADIANS(L27)))
              + SIN(RADIANS(K27)) * (
                Config!$C$17 * ((D27 - V27) * COS(RADIANS(L27)) + (E27 - W27) * SIN(RADIANS(L27)))
                - Config!$C$15 * (F27 - X27)
              )
              + (1 - COS(RADIANS(K27))) * (
                ((D27 - V27) * COS(RADIANS(L27)) + (E27 - W27) * SIN(RADIANS(L27))) * Config!$C$15
                + (-(D27 - V27) * SIN(RADIANS(L27)) + (E27 - W27) * COS(RADIANS(L27))) * Config!$C$16
                + (F27 - X27) * Config!$C$17
              ) * Config!$C$16
              + W27
            )
          )
        )
      )
    )
  )
)</f>
        <v/>
      </c>
      <c r="P27" s="79" t="str">
        <f>IF(I27="","",
  IF(Config!$C$51=1, F27,
    IF(U27 &lt;= 2,
      -((-(D27 - V27) * SIN(RADIANS(L27)) + (E27 - W27) * COS(RADIANS(L27)))) * SIN(RADIANS(K27))
      + (F27 - X27) * COS(RADIANS(K27))
      + X27,
      IF(U27 = 3,
        -(((D27 - V27) * COS(RADIANS(L27)) + (E27 - W27) * SIN(RADIANS(L27)))) * SIN(RADIANS(K27))
        + (F27 - X27) * COS(RADIANS(K27))
        + X27,
        IF(U27 = 4,
          (F27 + X27) - Y27 * (1 - COS(RADIANS(K27))),
          IF(U27 = 5,
            F27 - Y27 * (1 - COS(RADIANS(K27))),
            IF(U27 = 6,
              (F27 + X27) - Y27 * SIN(RADIANS(Config!$H$18)) * SIN(RADIANS(Config!$H$18)) * (1 - COS(RADIANS(K27))),
              COS(RADIANS(K27)) * (F27 - X27)
              + SIN(RADIANS(K27)) * (
                Config!$C$15 * (-(D27 - V27) * SIN(RADIANS(L27)) + (E27 - W27) * COS(RADIANS(L27)))
                - Config!$C$16 * ((D27 - V27) * COS(RADIANS(L27)) + (E27 - W27) * SIN(RADIANS(L27)))
              )
              + (1 - COS(RADIANS(K27))) * (
                ((D27 - V27) * COS(RADIANS(L27)) + (E27 - W27) * SIN(RADIANS(L27))) * Config!$C$15
                + (-(D27 - V27) * SIN(RADIANS(L27)) + (E27 - W27) * COS(RADIANS(L27))) * Config!$C$16
                + (F27 - X27) * Config!$C$17
              ) * Config!$C$17
              + X27
            )
          )
        )
      )
    )
  )
)</f>
        <v/>
      </c>
      <c r="Q27" s="47"/>
      <c r="R27" s="95" t="str">
        <f>IF(I27="","",
  IF(OR(
    K27 &lt; IF(Config!$C$4=1,Config!$C$34,
      IF(Config!$C$4=2,Config!$D$34,
        IF(Config!$C$4=3,Config!$E$34,
          IF(Config!$C$4=4,Config!$F$34,
            IF(Config!$C$4=5,Config!$G$34,
              IF(Config!$C$4=6,Config!$H$34,Config!$I$34)
            )
          )
        )
      )
    ),
    K27 &gt; IF(Config!$C$4=1,Config!$C$35,
      IF(Config!$C$4=2,Config!$D$35,
        IF(Config!$C$4=3,Config!$E$35,
          IF(Config!$C$4=4,Config!$F$35,
            IF(Config!$C$4=5,Config!$G$35,
              IF(Config!$C$4=6,Config!$H$35,Config!$I$35)
            )
          )
        )
      )
    )
  ),
    "⚠ OUT OF RANGE",
    "OK"
  )
)</f>
        <v/>
      </c>
      <c r="S27" s="95" t="str">
        <f>IF(I27="","",
  IF(OR(
    L27 &lt; IF(Config!$C$4=1,Config!$C$36,
      IF(Config!$C$4=2,Config!$D$36,
        IF(Config!$C$4=3,Config!$E$36,
          IF(Config!$C$4=4,Config!$F$36,
            IF(Config!$C$4=5,Config!$G$36,
              IF(Config!$C$4=6,Config!$H$36,Config!$I$36)
            )
          )
        )
      )
    ),
    L27 &gt; IF(Config!$C$4=1,Config!$C$37,
      IF(Config!$C$4=2,Config!$D$37,
        IF(Config!$C$4=3,Config!$E$37,
          IF(Config!$C$4=4,Config!$F$37,
            IF(Config!$C$4=5,Config!$G$37,
              IF(Config!$C$4=6,Config!$H$37,Config!$I$37)
            )
          )
        )
      )
    )
  ),
    "⚠ OUT OF RANGE",
    "OK"
  )
)</f>
        <v/>
      </c>
      <c r="T27" s="47"/>
      <c r="U27" s="79">
        <f>Config!$C$4</f>
        <v>1</v>
      </c>
      <c r="V27" s="79">
        <f>IF(U27=1, Config!$C$27,
  IF(U27=2, Config!$D$27,
    IF(U27=3, Config!$E$27,
      IF(U27=4, Config!$F$27,
        IF(U27=5, Config!$G$27,
          IF(U27=6, Config!$H$27,
            Config!$I$27
          )
        )
      )
    )
  )
)</f>
        <v>0</v>
      </c>
      <c r="W27" s="79">
        <f>IF(U27=1, Config!$C$28,
  IF(U27=2, Config!$D$28,
    IF(U27=3, Config!$E$28,
      IF(U27=4, Config!$F$28,
        IF(U27=5, Config!$G$28,
          IF(U27=6, Config!$H$28,
            Config!$I$28
          )
        )
      )
    )
  )
)</f>
        <v>0</v>
      </c>
      <c r="X27" s="79">
        <f>IF(U27=1, Config!$C$29,
  IF(U27=2, Config!$D$29,
    IF(U27=3, Config!$E$29,
      IF(U27=4, Config!$F$29,
        IF(U27=5, Config!$G$29,
          IF(U27=6, Config!$H$29,
            Config!$I$29
          )
        )
      )
    )
  )
)</f>
        <v>0</v>
      </c>
      <c r="Y27" s="79">
        <f>IF(U27=1, Config!$C$30,
  IF(U27=2, Config!$D$30,
    IF(U27=3, Config!$E$30,
      IF(U27=4, Config!$F$30,
        IF(U27=5, Config!$G$30,
          IF(U27=6, Config!$H$30,
            Config!$I$30
          )
        )
      )
    )
  )
)</f>
        <v>0</v>
      </c>
      <c r="AA27" s="79" t="str">
        <f t="shared" si="0"/>
        <v/>
      </c>
      <c r="AB27" s="79" t="str">
        <f t="shared" si="1"/>
        <v/>
      </c>
      <c r="AC27" s="72"/>
      <c r="AD27" s="79" t="str">
        <f>IF(I27="","",
  IF(Config!$C$51=1, D27,
    IF(U27&lt;=2,
      (D27 - V27)*COS(RADIANS(AB27)) + (E27 - W27)*SIN(RADIANS(AB27)) + V27,
      IF(U27=3,
        ((D27 - V27)*COS(RADIANS(AB27)) + (E27 - W27)*SIN(RADIANS(AB27)))*COS(RADIANS(AA27))
        + (F27 - X27)*SIN(RADIANS(AA27)) + V27,
        IF(U27=4,
          (D27*COS(RADIANS(AB27)) + E27*SIN(RADIANS(AB27)) + V27) + Y27*SIN(RADIANS(AA27)),
          IF(U27=5,
            D27 + Y27*SIN(RADIANS(AA27))*COS(RADIANS(AB27)),
            IF(U27=6,
              (D27*COS(RADIANS(AB27)) + E27*SIN(RADIANS(AB27)) + V27)
              + Y27*SIN(RADIANS(AA27))*SIN(RADIANS(Config!$H$18)),
              COS(RADIANS(AA27)) * (((D27 - V27)*COS(RADIANS(AB27)) + (E27 - W27)*SIN(RADIANS(AB27))))
              + SIN(RADIANS(AA27)) * (
                Config!$C$16*(F27 - X27)
                - Config!$C$17*(-(D27 - V27)*SIN(RADIANS(AB27)) + (E27 - W27)*COS(RADIANS(AB27)))
              )
              + (1 - COS(RADIANS(AA27))) * (
                ((D27 - V27)*COS(RADIANS(AB27)) + (E27 - W27)*SIN(RADIANS(AB27)))*Config!$C$15
                + (-(D27 - V27)*SIN(RADIANS(AB27)) + (E27 - W27)*COS(RADIANS(AB27)))*Config!$C$16
                + (F27 - X27)*Config!$C$17
              ) * Config!$C$15
              + V27
            )
          )
        )
      )
    )
  )
)</f>
        <v/>
      </c>
      <c r="AE27" s="79" t="str">
        <f>IF(I27="","",
  IF(Config!$C$51=1, E27,
    IF(U27 &lt;= 2,
      (-(D27 - V27) * SIN(RADIANS(AB27)) + (E27 - W27) * COS(RADIANS(AB27))) * COS(RADIANS(AA27))
      + (F27 - X27) * SIN(RADIANS(AA27))
      + W27,
      IF(U27 = 3,
        (-(D27 - V27) * SIN(RADIANS(AB27)) + (E27 - W27) * COS(RADIANS(AB27)))
        + W27,
        IF(U27 = 4,
          -(D27) * SIN(RADIANS(AB27)) + (E27) * COS(RADIANS(AB27))
          + W27,
          IF(U27 = 5,
            E27 + Y27 * SIN(RADIANS(AA27)) * SIN(RADIANS(AB27)),
            IF(U27 = 6,
              (-(D27) * SIN(RADIANS(AB27)) + (E27) * COS(RADIANS(AB27)) + W27)
              + Y27 * (1 - COS(RADIANS(AA27))) * SIN(RADIANS(Config!$H$18)) * COS(RADIANS(Config!$H$18)),
              COS(RADIANS(AA27)) * (-(D27 - V27) * SIN(RADIANS(AB27)) + (E27 - W27) * COS(RADIANS(AB27)))
              + SIN(RADIANS(AA27)) * (
                Config!$C$17 * ((D27 - V27) * COS(RADIANS(AB27)) + (E27 - W27) * SIN(RADIANS(AB27)))
                - Config!$C$15 * (F27 - X27)
              )
              + (1 - COS(RADIANS(AA27))) * (
                ((D27 - V27) * COS(RADIANS(AB27)) + (E27 - W27) * SIN(RADIANS(AB27))) * Config!$C$15
                + (-(D27 - V27) * SIN(RADIANS(AB27)) + (E27 - W27) * COS(RADIANS(AB27))) * Config!$C$16
                + (F27 - X27) * Config!$C$17
              ) * Config!$C$16
              + W27
            )
          )
        )
      )
    )
  )
)</f>
        <v/>
      </c>
      <c r="AF27" s="79" t="str">
        <f>IF(I27="","",
  IF(Config!$C$51=1, F27,
    IF(U27 &lt;= 2,
      -((-(D27 - V27) * SIN(RADIANS(AB27)) + (E27 - W27) * COS(RADIANS(AB27)))) * SIN(RADIANS(AA27))
      + (F27 - X27) * COS(RADIANS(AA27))
      + X27,
      IF(U27 = 3,
        -(((D27 - V27) * COS(RADIANS(AB27)) + (E27 - W27) * SIN(RADIANS(AB27)))) * SIN(RADIANS(AA27))
        + (F27 - X27) * COS(RADIANS(AA27))
        + X27,
        IF(U27 = 4,
          (F27 + X27) - Y27 * (1 - COS(RADIANS(AA27))),
          IF(U27 = 5,
            F27 - Y27 * (1 - COS(RADIANS(AA27))),
            IF(U27 = 6,
              (F27 + X27) - Y27 * SIN(RADIANS(Config!$H$18)) * SIN(RADIANS(Config!$H$18)) * (1 - COS(RADIANS(AA27))),
              COS(RADIANS(AA27)) * (F27 - X27)
              + SIN(RADIANS(AA27)) * (
                Config!$C$15 * (-(D27 - V27) * SIN(RADIANS(AB27)) + (E27 - W27) * COS(RADIANS(AB27)))
                - Config!$C$16 * ((D27 - V27) * COS(RADIANS(AB27)) + (E27 - W27) * SIN(RADIANS(AB27)))
              )
              + (1 - COS(RADIANS(AA27))) * (
                ((D27 - V27) * COS(RADIANS(AB27)) + (E27 - W27) * SIN(RADIANS(AB27))) * Config!$C$15
                + (-(D27 - V27) * SIN(RADIANS(AB27)) + (E27 - W27) * COS(RADIANS(AB27))) * Config!$C$16
                + (F27 - X27) * Config!$C$17
              ) * Config!$C$17
              + X27
            )
          )
        )
      )
    )
  )
)</f>
        <v/>
      </c>
      <c r="AG27" s="72"/>
      <c r="AH27" s="96" t="str">
        <f>IF(I27="","",
  IF(OR(AA27="N/A", AA27=""),
    "N/A",
    IF(OR(
      AA27 &lt; IF(Config!$C$4=1,Config!$C$34,
        IF(Config!$C$4=2,Config!$D$34,
          IF(Config!$C$4=3,Config!$E$34,
            IF(Config!$C$4=4,Config!$F$34,
              IF(Config!$C$4=5,Config!$G$34,
                IF(Config!$C$4=6,Config!$H$34,Config!$I$34)
              )
            )
          )
        )
      ),
      AA27 &gt; IF(Config!$C$4=1,Config!$C$35,
        IF(Config!$C$4=2,Config!$D$35,
          IF(Config!$C$4=3,Config!$E$35,
            IF(Config!$C$4=4,Config!$F$35,
              IF(Config!$C$4=5,Config!$G$35,
                IF(Config!$C$4=6,Config!$H$35,Config!$I$35)
              )
            )
          )
        )
      )
    ),
    "⚠ OUT OF RANGE",
    "OK"
    )
  )
)</f>
        <v/>
      </c>
      <c r="AI27" s="96" t="str">
        <f>IF(I27="","",
  IF(OR(AB27="N/A", AB27=""),
    "N/A",
    IF(OR(
      AB27 &lt; IF(Config!$C$4=1,Config!$C$36,
        IF(Config!$C$4=2,Config!$D$36,
          IF(Config!$C$4=3,Config!$E$36,
            IF(Config!$C$4=4,Config!$F$36,
              IF(Config!$C$4=5,Config!$G$36,
                IF(Config!$C$4=6,Config!$H$36,Config!$I$36)
              )
            )
          )
        )
      ),
      AB27 &gt; IF(Config!$C$4=1,Config!$C$37,
        IF(Config!$C$4=2,Config!$D$37,
          IF(Config!$C$4=3,Config!$E$37,
            IF(Config!$C$4=4,Config!$F$37,
              IF(Config!$C$4=5,Config!$G$37,
                IF(Config!$C$4=6,Config!$H$37,Config!$I$37)
              )
            )
          )
        )
      )
    ),
    "⚠ OUT OF RANGE",
    "OK"
    )
  )
)</f>
        <v/>
      </c>
    </row>
    <row r="28" spans="1:35" ht="18" customHeight="1" x14ac:dyDescent="0.25">
      <c r="A28" s="43"/>
      <c r="B28" s="47">
        <v>24</v>
      </c>
      <c r="C28" s="71"/>
      <c r="D28" s="64"/>
      <c r="E28" s="64"/>
      <c r="F28" s="64"/>
      <c r="G28" s="64"/>
      <c r="H28" s="64"/>
      <c r="I28" s="64"/>
      <c r="J28" s="47"/>
      <c r="K28" s="79" t="str">
        <f>IF(
    I28="",
    "",
    IF(
        Config!$C$4&lt;=2,
        IF(
            AND(G28=0,H28=0),
            0,
            IF(
                H28&gt;=0,
                DEGREES(ACOS(I28)),
                -DEGREES(ACOS(I28))
            )
        ),
        IF(
            Config!$C$4=3,
            IF(
                AND(G28=0,H28=0),
                0,
                IF(
                    G28&gt;=0,
                    DEGREES(ACOS(I28)),
                    -DEGREES(ACOS(I28))
                )
            ),
            IF(
                Config!$C$4=4,
                IF(
                    AND(G28=0,H28=0),
                    0,
                    DEGREES(ATAN2(I28,G28))
                ),
                IF(
                    Config!$C$4=5,
                    IF(
                        AND(G28=0,H28=0),
                        0,
                        DEGREES(ACOS(I28))
                    ),
                    IF(
                        Config!$C$4=6,
                        IF(
                            AND(G28=0,H28=0),
                            0,
                            IF(
                                G28&gt;=0,
                                DEGREES(ACOS(2*I28-1)),
                                -DEGREES(ACOS(2*I28-1))
                            )
                        ),
                        IF(
                            AND(G28=0,H28=0),
                            0,
                            IF(
                                ((G28*Config!$C$16-H28*Config!$C$15))&lt;=0,
                                DEGREES(
                                    ACOS(
                                        MAX(
                                            -1,
                                            MIN(
                                                1,
                                                (I28-Config!$C$20)/Config!$C$21
                                            )
                                        )
                                    )
                                ),
                                -DEGREES(
                                    ACOS(
                                        MAX(
                                            -1,
                                            MIN(
                                                1,
                                                (I28-Config!$C$20)/Config!$C$21
                                            )
                                        )
                                    )
                                )
                            )
                        )
                    )
                )
            )
        )
    )
)</f>
        <v/>
      </c>
      <c r="L28" s="79" t="str">
        <f>IF(
    I28="",
    "",
    IF(
        Config!$C$4&lt;=2,
        IF(
            AND(G28=0,H28=0),
            0,
            DEGREES(ATAN2(H28,G28))
        ),
        IF(
            Config!$C$4=3,
            IF(
                AND(G28=0,H28=0),
                0,
                DEGREES(ATAN2(G28,-H28))
            ),
            IF(
                Config!$C$4=4,
                0,
                IF(
                    Config!$C$4=5,
                    IF(
                        AND(G28=0,H28=0),
                        0,
                        DEGREES(ATAN2(H28,G28))
                    ),
                    IF(
                        Config!$C$4=6,
                        IF(
                            AND(G28=0,H28=0),
                            0,
                            DEGREES(ATAN2(H28,G28))
                        ),
                        0
                    )
                )
            )
        )
    )
)</f>
        <v/>
      </c>
      <c r="M28" s="47"/>
      <c r="N28" s="79" t="str">
        <f>IF(I28="","",
  IF(Config!$C$51=1, D28,
    IF(U28&lt;=2,
      (D28 - V28)*COS(RADIANS(L28)) + (E28 - W28)*SIN(RADIANS(L28)) + V28,
      IF(U28=3,
        ((D28 - V28)*COS(RADIANS(L28)) + (E28 - W28)*SIN(RADIANS(L28)))*COS(RADIANS(K28))
        + (F28 - X28)*SIN(RADIANS(K28)) + V28,
        IF(U28=4,
          (D28*COS(RADIANS(L28)) + E28*SIN(RADIANS(L28)) + V28) + Y28*SIN(RADIANS(K28)),
          IF(U28=5,
            D28 + Y28*SIN(RADIANS(K28))*COS(RADIANS(L28)),
            IF(U28=6,
              (D28*COS(RADIANS(L28)) + E28*SIN(RADIANS(L28)) + V28)
              + Y28*SIN(RADIANS(K28))*SIN(RADIANS(Config!$H$18)),
              COS(RADIANS(K28)) * (((D28 - V28)*COS(RADIANS(L28)) + (E28 - W28)*SIN(RADIANS(L28))))
              + SIN(RADIANS(K28)) * (
                Config!$C$16*(F28 - X28)
                - Config!$C$17*(-(D28 - V28)*SIN(RADIANS(L28)) + (E28 - W28)*COS(RADIANS(L28)))
              )
              + (1 - COS(RADIANS(K28))) * (
                ((D28 - V28)*COS(RADIANS(L28)) + (E28 - W28)*SIN(RADIANS(L28)))*Config!$C$15
                + (-(D28 - V28)*SIN(RADIANS(L28)) + (E28 - W28)*COS(RADIANS(L28)))*Config!$C$16
                + (F28 - X28)*Config!$C$17
              ) * Config!$C$15
              + V28
            )
          )
        )
      )
    )
  )
)</f>
        <v/>
      </c>
      <c r="O28" s="79" t="str">
        <f>IF(I28="","",
  IF(Config!$C$51=1, E28,
    IF(U28 &lt;= 2,
      (-(D28 - V28) * SIN(RADIANS(L28)) + (E28 - W28) * COS(RADIANS(L28))) * COS(RADIANS(K28))
      + (F28 - X28) * SIN(RADIANS(K28))
      + W28,
      IF(U28 = 3,
        (-(D28 - V28) * SIN(RADIANS(L28)) + (E28 - W28) * COS(RADIANS(L28)))
        + W28,
        IF(U28 = 4,
          -(D28) * SIN(RADIANS(L28)) + (E28) * COS(RADIANS(L28))
          + W28,
          IF(U28 = 5,
            E28 + Y28 * SIN(RADIANS(K28)) * SIN(RADIANS(L28)),
            IF(U28 = 6,
              (-(D28) * SIN(RADIANS(L28)) + (E28) * COS(RADIANS(L28)) + W28)
              + Y28 * (1 - COS(RADIANS(K28))) * SIN(RADIANS(Config!$H$18)) * COS(RADIANS(Config!$H$18)),
              COS(RADIANS(K28)) * (-(D28 - V28) * SIN(RADIANS(L28)) + (E28 - W28) * COS(RADIANS(L28)))
              + SIN(RADIANS(K28)) * (
                Config!$C$17 * ((D28 - V28) * COS(RADIANS(L28)) + (E28 - W28) * SIN(RADIANS(L28)))
                - Config!$C$15 * (F28 - X28)
              )
              + (1 - COS(RADIANS(K28))) * (
                ((D28 - V28) * COS(RADIANS(L28)) + (E28 - W28) * SIN(RADIANS(L28))) * Config!$C$15
                + (-(D28 - V28) * SIN(RADIANS(L28)) + (E28 - W28) * COS(RADIANS(L28))) * Config!$C$16
                + (F28 - X28) * Config!$C$17
              ) * Config!$C$16
              + W28
            )
          )
        )
      )
    )
  )
)</f>
        <v/>
      </c>
      <c r="P28" s="79" t="str">
        <f>IF(I28="","",
  IF(Config!$C$51=1, F28,
    IF(U28 &lt;= 2,
      -((-(D28 - V28) * SIN(RADIANS(L28)) + (E28 - W28) * COS(RADIANS(L28)))) * SIN(RADIANS(K28))
      + (F28 - X28) * COS(RADIANS(K28))
      + X28,
      IF(U28 = 3,
        -(((D28 - V28) * COS(RADIANS(L28)) + (E28 - W28) * SIN(RADIANS(L28)))) * SIN(RADIANS(K28))
        + (F28 - X28) * COS(RADIANS(K28))
        + X28,
        IF(U28 = 4,
          (F28 + X28) - Y28 * (1 - COS(RADIANS(K28))),
          IF(U28 = 5,
            F28 - Y28 * (1 - COS(RADIANS(K28))),
            IF(U28 = 6,
              (F28 + X28) - Y28 * SIN(RADIANS(Config!$H$18)) * SIN(RADIANS(Config!$H$18)) * (1 - COS(RADIANS(K28))),
              COS(RADIANS(K28)) * (F28 - X28)
              + SIN(RADIANS(K28)) * (
                Config!$C$15 * (-(D28 - V28) * SIN(RADIANS(L28)) + (E28 - W28) * COS(RADIANS(L28)))
                - Config!$C$16 * ((D28 - V28) * COS(RADIANS(L28)) + (E28 - W28) * SIN(RADIANS(L28)))
              )
              + (1 - COS(RADIANS(K28))) * (
                ((D28 - V28) * COS(RADIANS(L28)) + (E28 - W28) * SIN(RADIANS(L28))) * Config!$C$15
                + (-(D28 - V28) * SIN(RADIANS(L28)) + (E28 - W28) * COS(RADIANS(L28))) * Config!$C$16
                + (F28 - X28) * Config!$C$17
              ) * Config!$C$17
              + X28
            )
          )
        )
      )
    )
  )
)</f>
        <v/>
      </c>
      <c r="Q28" s="47"/>
      <c r="R28" s="95" t="str">
        <f>IF(I28="","",
  IF(OR(
    K28 &lt; IF(Config!$C$4=1,Config!$C$34,
      IF(Config!$C$4=2,Config!$D$34,
        IF(Config!$C$4=3,Config!$E$34,
          IF(Config!$C$4=4,Config!$F$34,
            IF(Config!$C$4=5,Config!$G$34,
              IF(Config!$C$4=6,Config!$H$34,Config!$I$34)
            )
          )
        )
      )
    ),
    K28 &gt; IF(Config!$C$4=1,Config!$C$35,
      IF(Config!$C$4=2,Config!$D$35,
        IF(Config!$C$4=3,Config!$E$35,
          IF(Config!$C$4=4,Config!$F$35,
            IF(Config!$C$4=5,Config!$G$35,
              IF(Config!$C$4=6,Config!$H$35,Config!$I$35)
            )
          )
        )
      )
    )
  ),
    "⚠ OUT OF RANGE",
    "OK"
  )
)</f>
        <v/>
      </c>
      <c r="S28" s="95" t="str">
        <f>IF(I28="","",
  IF(OR(
    L28 &lt; IF(Config!$C$4=1,Config!$C$36,
      IF(Config!$C$4=2,Config!$D$36,
        IF(Config!$C$4=3,Config!$E$36,
          IF(Config!$C$4=4,Config!$F$36,
            IF(Config!$C$4=5,Config!$G$36,
              IF(Config!$C$4=6,Config!$H$36,Config!$I$36)
            )
          )
        )
      )
    ),
    L28 &gt; IF(Config!$C$4=1,Config!$C$37,
      IF(Config!$C$4=2,Config!$D$37,
        IF(Config!$C$4=3,Config!$E$37,
          IF(Config!$C$4=4,Config!$F$37,
            IF(Config!$C$4=5,Config!$G$37,
              IF(Config!$C$4=6,Config!$H$37,Config!$I$37)
            )
          )
        )
      )
    )
  ),
    "⚠ OUT OF RANGE",
    "OK"
  )
)</f>
        <v/>
      </c>
      <c r="T28" s="47"/>
      <c r="U28" s="79">
        <f>Config!$C$4</f>
        <v>1</v>
      </c>
      <c r="V28" s="79">
        <f>IF(U28=1, Config!$C$27,
  IF(U28=2, Config!$D$27,
    IF(U28=3, Config!$E$27,
      IF(U28=4, Config!$F$27,
        IF(U28=5, Config!$G$27,
          IF(U28=6, Config!$H$27,
            Config!$I$27
          )
        )
      )
    )
  )
)</f>
        <v>0</v>
      </c>
      <c r="W28" s="79">
        <f>IF(U28=1, Config!$C$28,
  IF(U28=2, Config!$D$28,
    IF(U28=3, Config!$E$28,
      IF(U28=4, Config!$F$28,
        IF(U28=5, Config!$G$28,
          IF(U28=6, Config!$H$28,
            Config!$I$28
          )
        )
      )
    )
  )
)</f>
        <v>0</v>
      </c>
      <c r="X28" s="79">
        <f>IF(U28=1, Config!$C$29,
  IF(U28=2, Config!$D$29,
    IF(U28=3, Config!$E$29,
      IF(U28=4, Config!$F$29,
        IF(U28=5, Config!$G$29,
          IF(U28=6, Config!$H$29,
            Config!$I$29
          )
        )
      )
    )
  )
)</f>
        <v>0</v>
      </c>
      <c r="Y28" s="79">
        <f>IF(U28=1, Config!$C$30,
  IF(U28=2, Config!$D$30,
    IF(U28=3, Config!$E$30,
      IF(U28=4, Config!$F$30,
        IF(U28=5, Config!$G$30,
          IF(U28=6, Config!$H$30,
            Config!$I$30
          )
        )
      )
    )
  )
)</f>
        <v>0</v>
      </c>
      <c r="AA28" s="79" t="str">
        <f t="shared" si="0"/>
        <v/>
      </c>
      <c r="AB28" s="79" t="str">
        <f t="shared" si="1"/>
        <v/>
      </c>
      <c r="AC28" s="72"/>
      <c r="AD28" s="79" t="str">
        <f>IF(I28="","",
  IF(Config!$C$51=1, D28,
    IF(U28&lt;=2,
      (D28 - V28)*COS(RADIANS(AB28)) + (E28 - W28)*SIN(RADIANS(AB28)) + V28,
      IF(U28=3,
        ((D28 - V28)*COS(RADIANS(AB28)) + (E28 - W28)*SIN(RADIANS(AB28)))*COS(RADIANS(AA28))
        + (F28 - X28)*SIN(RADIANS(AA28)) + V28,
        IF(U28=4,
          (D28*COS(RADIANS(AB28)) + E28*SIN(RADIANS(AB28)) + V28) + Y28*SIN(RADIANS(AA28)),
          IF(U28=5,
            D28 + Y28*SIN(RADIANS(AA28))*COS(RADIANS(AB28)),
            IF(U28=6,
              (D28*COS(RADIANS(AB28)) + E28*SIN(RADIANS(AB28)) + V28)
              + Y28*SIN(RADIANS(AA28))*SIN(RADIANS(Config!$H$18)),
              COS(RADIANS(AA28)) * (((D28 - V28)*COS(RADIANS(AB28)) + (E28 - W28)*SIN(RADIANS(AB28))))
              + SIN(RADIANS(AA28)) * (
                Config!$C$16*(F28 - X28)
                - Config!$C$17*(-(D28 - V28)*SIN(RADIANS(AB28)) + (E28 - W28)*COS(RADIANS(AB28)))
              )
              + (1 - COS(RADIANS(AA28))) * (
                ((D28 - V28)*COS(RADIANS(AB28)) + (E28 - W28)*SIN(RADIANS(AB28)))*Config!$C$15
                + (-(D28 - V28)*SIN(RADIANS(AB28)) + (E28 - W28)*COS(RADIANS(AB28)))*Config!$C$16
                + (F28 - X28)*Config!$C$17
              ) * Config!$C$15
              + V28
            )
          )
        )
      )
    )
  )
)</f>
        <v/>
      </c>
      <c r="AE28" s="79" t="str">
        <f>IF(I28="","",
  IF(Config!$C$51=1, E28,
    IF(U28 &lt;= 2,
      (-(D28 - V28) * SIN(RADIANS(AB28)) + (E28 - W28) * COS(RADIANS(AB28))) * COS(RADIANS(AA28))
      + (F28 - X28) * SIN(RADIANS(AA28))
      + W28,
      IF(U28 = 3,
        (-(D28 - V28) * SIN(RADIANS(AB28)) + (E28 - W28) * COS(RADIANS(AB28)))
        + W28,
        IF(U28 = 4,
          -(D28) * SIN(RADIANS(AB28)) + (E28) * COS(RADIANS(AB28))
          + W28,
          IF(U28 = 5,
            E28 + Y28 * SIN(RADIANS(AA28)) * SIN(RADIANS(AB28)),
            IF(U28 = 6,
              (-(D28) * SIN(RADIANS(AB28)) + (E28) * COS(RADIANS(AB28)) + W28)
              + Y28 * (1 - COS(RADIANS(AA28))) * SIN(RADIANS(Config!$H$18)) * COS(RADIANS(Config!$H$18)),
              COS(RADIANS(AA28)) * (-(D28 - V28) * SIN(RADIANS(AB28)) + (E28 - W28) * COS(RADIANS(AB28)))
              + SIN(RADIANS(AA28)) * (
                Config!$C$17 * ((D28 - V28) * COS(RADIANS(AB28)) + (E28 - W28) * SIN(RADIANS(AB28)))
                - Config!$C$15 * (F28 - X28)
              )
              + (1 - COS(RADIANS(AA28))) * (
                ((D28 - V28) * COS(RADIANS(AB28)) + (E28 - W28) * SIN(RADIANS(AB28))) * Config!$C$15
                + (-(D28 - V28) * SIN(RADIANS(AB28)) + (E28 - W28) * COS(RADIANS(AB28))) * Config!$C$16
                + (F28 - X28) * Config!$C$17
              ) * Config!$C$16
              + W28
            )
          )
        )
      )
    )
  )
)</f>
        <v/>
      </c>
      <c r="AF28" s="79" t="str">
        <f>IF(I28="","",
  IF(Config!$C$51=1, F28,
    IF(U28 &lt;= 2,
      -((-(D28 - V28) * SIN(RADIANS(AB28)) + (E28 - W28) * COS(RADIANS(AB28)))) * SIN(RADIANS(AA28))
      + (F28 - X28) * COS(RADIANS(AA28))
      + X28,
      IF(U28 = 3,
        -(((D28 - V28) * COS(RADIANS(AB28)) + (E28 - W28) * SIN(RADIANS(AB28)))) * SIN(RADIANS(AA28))
        + (F28 - X28) * COS(RADIANS(AA28))
        + X28,
        IF(U28 = 4,
          (F28 + X28) - Y28 * (1 - COS(RADIANS(AA28))),
          IF(U28 = 5,
            F28 - Y28 * (1 - COS(RADIANS(AA28))),
            IF(U28 = 6,
              (F28 + X28) - Y28 * SIN(RADIANS(Config!$H$18)) * SIN(RADIANS(Config!$H$18)) * (1 - COS(RADIANS(AA28))),
              COS(RADIANS(AA28)) * (F28 - X28)
              + SIN(RADIANS(AA28)) * (
                Config!$C$15 * (-(D28 - V28) * SIN(RADIANS(AB28)) + (E28 - W28) * COS(RADIANS(AB28)))
                - Config!$C$16 * ((D28 - V28) * COS(RADIANS(AB28)) + (E28 - W28) * SIN(RADIANS(AB28)))
              )
              + (1 - COS(RADIANS(AA28))) * (
                ((D28 - V28) * COS(RADIANS(AB28)) + (E28 - W28) * SIN(RADIANS(AB28))) * Config!$C$15
                + (-(D28 - V28) * SIN(RADIANS(AB28)) + (E28 - W28) * COS(RADIANS(AB28))) * Config!$C$16
                + (F28 - X28) * Config!$C$17
              ) * Config!$C$17
              + X28
            )
          )
        )
      )
    )
  )
)</f>
        <v/>
      </c>
      <c r="AG28" s="72"/>
      <c r="AH28" s="96" t="str">
        <f>IF(I28="","",
  IF(OR(AA28="N/A", AA28=""),
    "N/A",
    IF(OR(
      AA28 &lt; IF(Config!$C$4=1,Config!$C$34,
        IF(Config!$C$4=2,Config!$D$34,
          IF(Config!$C$4=3,Config!$E$34,
            IF(Config!$C$4=4,Config!$F$34,
              IF(Config!$C$4=5,Config!$G$34,
                IF(Config!$C$4=6,Config!$H$34,Config!$I$34)
              )
            )
          )
        )
      ),
      AA28 &gt; IF(Config!$C$4=1,Config!$C$35,
        IF(Config!$C$4=2,Config!$D$35,
          IF(Config!$C$4=3,Config!$E$35,
            IF(Config!$C$4=4,Config!$F$35,
              IF(Config!$C$4=5,Config!$G$35,
                IF(Config!$C$4=6,Config!$H$35,Config!$I$35)
              )
            )
          )
        )
      )
    ),
    "⚠ OUT OF RANGE",
    "OK"
    )
  )
)</f>
        <v/>
      </c>
      <c r="AI28" s="96" t="str">
        <f>IF(I28="","",
  IF(OR(AB28="N/A", AB28=""),
    "N/A",
    IF(OR(
      AB28 &lt; IF(Config!$C$4=1,Config!$C$36,
        IF(Config!$C$4=2,Config!$D$36,
          IF(Config!$C$4=3,Config!$E$36,
            IF(Config!$C$4=4,Config!$F$36,
              IF(Config!$C$4=5,Config!$G$36,
                IF(Config!$C$4=6,Config!$H$36,Config!$I$36)
              )
            )
          )
        )
      ),
      AB28 &gt; IF(Config!$C$4=1,Config!$C$37,
        IF(Config!$C$4=2,Config!$D$37,
          IF(Config!$C$4=3,Config!$E$37,
            IF(Config!$C$4=4,Config!$F$37,
              IF(Config!$C$4=5,Config!$G$37,
                IF(Config!$C$4=6,Config!$H$37,Config!$I$37)
              )
            )
          )
        )
      )
    ),
    "⚠ OUT OF RANGE",
    "OK"
    )
  )
)</f>
        <v/>
      </c>
    </row>
    <row r="29" spans="1:35" ht="18" customHeight="1" x14ac:dyDescent="0.25">
      <c r="A29" s="43"/>
      <c r="B29" s="47">
        <v>25</v>
      </c>
      <c r="C29" s="71"/>
      <c r="D29" s="64"/>
      <c r="E29" s="64"/>
      <c r="F29" s="64"/>
      <c r="G29" s="64"/>
      <c r="H29" s="64"/>
      <c r="I29" s="64"/>
      <c r="J29" s="47"/>
      <c r="K29" s="79" t="str">
        <f>IF(
    I29="",
    "",
    IF(
        Config!$C$4&lt;=2,
        IF(
            AND(G29=0,H29=0),
            0,
            IF(
                H29&gt;=0,
                DEGREES(ACOS(I29)),
                -DEGREES(ACOS(I29))
            )
        ),
        IF(
            Config!$C$4=3,
            IF(
                AND(G29=0,H29=0),
                0,
                IF(
                    G29&gt;=0,
                    DEGREES(ACOS(I29)),
                    -DEGREES(ACOS(I29))
                )
            ),
            IF(
                Config!$C$4=4,
                IF(
                    AND(G29=0,H29=0),
                    0,
                    DEGREES(ATAN2(I29,G29))
                ),
                IF(
                    Config!$C$4=5,
                    IF(
                        AND(G29=0,H29=0),
                        0,
                        DEGREES(ACOS(I29))
                    ),
                    IF(
                        Config!$C$4=6,
                        IF(
                            AND(G29=0,H29=0),
                            0,
                            IF(
                                G29&gt;=0,
                                DEGREES(ACOS(2*I29-1)),
                                -DEGREES(ACOS(2*I29-1))
                            )
                        ),
                        IF(
                            AND(G29=0,H29=0),
                            0,
                            IF(
                                ((G29*Config!$C$16-H29*Config!$C$15))&lt;=0,
                                DEGREES(
                                    ACOS(
                                        MAX(
                                            -1,
                                            MIN(
                                                1,
                                                (I29-Config!$C$20)/Config!$C$21
                                            )
                                        )
                                    )
                                ),
                                -DEGREES(
                                    ACOS(
                                        MAX(
                                            -1,
                                            MIN(
                                                1,
                                                (I29-Config!$C$20)/Config!$C$21
                                            )
                                        )
                                    )
                                )
                            )
                        )
                    )
                )
            )
        )
    )
)</f>
        <v/>
      </c>
      <c r="L29" s="79" t="str">
        <f>IF(
    I29="",
    "",
    IF(
        Config!$C$4&lt;=2,
        IF(
            AND(G29=0,H29=0),
            0,
            DEGREES(ATAN2(H29,G29))
        ),
        IF(
            Config!$C$4=3,
            IF(
                AND(G29=0,H29=0),
                0,
                DEGREES(ATAN2(G29,-H29))
            ),
            IF(
                Config!$C$4=4,
                0,
                IF(
                    Config!$C$4=5,
                    IF(
                        AND(G29=0,H29=0),
                        0,
                        DEGREES(ATAN2(H29,G29))
                    ),
                    IF(
                        Config!$C$4=6,
                        IF(
                            AND(G29=0,H29=0),
                            0,
                            DEGREES(ATAN2(H29,G29))
                        ),
                        0
                    )
                )
            )
        )
    )
)</f>
        <v/>
      </c>
      <c r="M29" s="47"/>
      <c r="N29" s="79" t="str">
        <f>IF(I29="","",
  IF(Config!$C$51=1, D29,
    IF(U29&lt;=2,
      (D29 - V29)*COS(RADIANS(L29)) + (E29 - W29)*SIN(RADIANS(L29)) + V29,
      IF(U29=3,
        ((D29 - V29)*COS(RADIANS(L29)) + (E29 - W29)*SIN(RADIANS(L29)))*COS(RADIANS(K29))
        + (F29 - X29)*SIN(RADIANS(K29)) + V29,
        IF(U29=4,
          (D29*COS(RADIANS(L29)) + E29*SIN(RADIANS(L29)) + V29) + Y29*SIN(RADIANS(K29)),
          IF(U29=5,
            D29 + Y29*SIN(RADIANS(K29))*COS(RADIANS(L29)),
            IF(U29=6,
              (D29*COS(RADIANS(L29)) + E29*SIN(RADIANS(L29)) + V29)
              + Y29*SIN(RADIANS(K29))*SIN(RADIANS(Config!$H$18)),
              COS(RADIANS(K29)) * (((D29 - V29)*COS(RADIANS(L29)) + (E29 - W29)*SIN(RADIANS(L29))))
              + SIN(RADIANS(K29)) * (
                Config!$C$16*(F29 - X29)
                - Config!$C$17*(-(D29 - V29)*SIN(RADIANS(L29)) + (E29 - W29)*COS(RADIANS(L29)))
              )
              + (1 - COS(RADIANS(K29))) * (
                ((D29 - V29)*COS(RADIANS(L29)) + (E29 - W29)*SIN(RADIANS(L29)))*Config!$C$15
                + (-(D29 - V29)*SIN(RADIANS(L29)) + (E29 - W29)*COS(RADIANS(L29)))*Config!$C$16
                + (F29 - X29)*Config!$C$17
              ) * Config!$C$15
              + V29
            )
          )
        )
      )
    )
  )
)</f>
        <v/>
      </c>
      <c r="O29" s="79" t="str">
        <f>IF(I29="","",
  IF(Config!$C$51=1, E29,
    IF(U29 &lt;= 2,
      (-(D29 - V29) * SIN(RADIANS(L29)) + (E29 - W29) * COS(RADIANS(L29))) * COS(RADIANS(K29))
      + (F29 - X29) * SIN(RADIANS(K29))
      + W29,
      IF(U29 = 3,
        (-(D29 - V29) * SIN(RADIANS(L29)) + (E29 - W29) * COS(RADIANS(L29)))
        + W29,
        IF(U29 = 4,
          -(D29) * SIN(RADIANS(L29)) + (E29) * COS(RADIANS(L29))
          + W29,
          IF(U29 = 5,
            E29 + Y29 * SIN(RADIANS(K29)) * SIN(RADIANS(L29)),
            IF(U29 = 6,
              (-(D29) * SIN(RADIANS(L29)) + (E29) * COS(RADIANS(L29)) + W29)
              + Y29 * (1 - COS(RADIANS(K29))) * SIN(RADIANS(Config!$H$18)) * COS(RADIANS(Config!$H$18)),
              COS(RADIANS(K29)) * (-(D29 - V29) * SIN(RADIANS(L29)) + (E29 - W29) * COS(RADIANS(L29)))
              + SIN(RADIANS(K29)) * (
                Config!$C$17 * ((D29 - V29) * COS(RADIANS(L29)) + (E29 - W29) * SIN(RADIANS(L29)))
                - Config!$C$15 * (F29 - X29)
              )
              + (1 - COS(RADIANS(K29))) * (
                ((D29 - V29) * COS(RADIANS(L29)) + (E29 - W29) * SIN(RADIANS(L29))) * Config!$C$15
                + (-(D29 - V29) * SIN(RADIANS(L29)) + (E29 - W29) * COS(RADIANS(L29))) * Config!$C$16
                + (F29 - X29) * Config!$C$17
              ) * Config!$C$16
              + W29
            )
          )
        )
      )
    )
  )
)</f>
        <v/>
      </c>
      <c r="P29" s="79" t="str">
        <f>IF(I29="","",
  IF(Config!$C$51=1, F29,
    IF(U29 &lt;= 2,
      -((-(D29 - V29) * SIN(RADIANS(L29)) + (E29 - W29) * COS(RADIANS(L29)))) * SIN(RADIANS(K29))
      + (F29 - X29) * COS(RADIANS(K29))
      + X29,
      IF(U29 = 3,
        -(((D29 - V29) * COS(RADIANS(L29)) + (E29 - W29) * SIN(RADIANS(L29)))) * SIN(RADIANS(K29))
        + (F29 - X29) * COS(RADIANS(K29))
        + X29,
        IF(U29 = 4,
          (F29 + X29) - Y29 * (1 - COS(RADIANS(K29))),
          IF(U29 = 5,
            F29 - Y29 * (1 - COS(RADIANS(K29))),
            IF(U29 = 6,
              (F29 + X29) - Y29 * SIN(RADIANS(Config!$H$18)) * SIN(RADIANS(Config!$H$18)) * (1 - COS(RADIANS(K29))),
              COS(RADIANS(K29)) * (F29 - X29)
              + SIN(RADIANS(K29)) * (
                Config!$C$15 * (-(D29 - V29) * SIN(RADIANS(L29)) + (E29 - W29) * COS(RADIANS(L29)))
                - Config!$C$16 * ((D29 - V29) * COS(RADIANS(L29)) + (E29 - W29) * SIN(RADIANS(L29)))
              )
              + (1 - COS(RADIANS(K29))) * (
                ((D29 - V29) * COS(RADIANS(L29)) + (E29 - W29) * SIN(RADIANS(L29))) * Config!$C$15
                + (-(D29 - V29) * SIN(RADIANS(L29)) + (E29 - W29) * COS(RADIANS(L29))) * Config!$C$16
                + (F29 - X29) * Config!$C$17
              ) * Config!$C$17
              + X29
            )
          )
        )
      )
    )
  )
)</f>
        <v/>
      </c>
      <c r="Q29" s="47"/>
      <c r="R29" s="95" t="str">
        <f>IF(I29="","",
  IF(OR(
    K29 &lt; IF(Config!$C$4=1,Config!$C$34,
      IF(Config!$C$4=2,Config!$D$34,
        IF(Config!$C$4=3,Config!$E$34,
          IF(Config!$C$4=4,Config!$F$34,
            IF(Config!$C$4=5,Config!$G$34,
              IF(Config!$C$4=6,Config!$H$34,Config!$I$34)
            )
          )
        )
      )
    ),
    K29 &gt; IF(Config!$C$4=1,Config!$C$35,
      IF(Config!$C$4=2,Config!$D$35,
        IF(Config!$C$4=3,Config!$E$35,
          IF(Config!$C$4=4,Config!$F$35,
            IF(Config!$C$4=5,Config!$G$35,
              IF(Config!$C$4=6,Config!$H$35,Config!$I$35)
            )
          )
        )
      )
    )
  ),
    "⚠ OUT OF RANGE",
    "OK"
  )
)</f>
        <v/>
      </c>
      <c r="S29" s="95" t="str">
        <f>IF(I29="","",
  IF(OR(
    L29 &lt; IF(Config!$C$4=1,Config!$C$36,
      IF(Config!$C$4=2,Config!$D$36,
        IF(Config!$C$4=3,Config!$E$36,
          IF(Config!$C$4=4,Config!$F$36,
            IF(Config!$C$4=5,Config!$G$36,
              IF(Config!$C$4=6,Config!$H$36,Config!$I$36)
            )
          )
        )
      )
    ),
    L29 &gt; IF(Config!$C$4=1,Config!$C$37,
      IF(Config!$C$4=2,Config!$D$37,
        IF(Config!$C$4=3,Config!$E$37,
          IF(Config!$C$4=4,Config!$F$37,
            IF(Config!$C$4=5,Config!$G$37,
              IF(Config!$C$4=6,Config!$H$37,Config!$I$37)
            )
          )
        )
      )
    )
  ),
    "⚠ OUT OF RANGE",
    "OK"
  )
)</f>
        <v/>
      </c>
      <c r="T29" s="47"/>
      <c r="U29" s="79">
        <f>Config!$C$4</f>
        <v>1</v>
      </c>
      <c r="V29" s="79">
        <f>IF(U29=1, Config!$C$27,
  IF(U29=2, Config!$D$27,
    IF(U29=3, Config!$E$27,
      IF(U29=4, Config!$F$27,
        IF(U29=5, Config!$G$27,
          IF(U29=6, Config!$H$27,
            Config!$I$27
          )
        )
      )
    )
  )
)</f>
        <v>0</v>
      </c>
      <c r="W29" s="79">
        <f>IF(U29=1, Config!$C$28,
  IF(U29=2, Config!$D$28,
    IF(U29=3, Config!$E$28,
      IF(U29=4, Config!$F$28,
        IF(U29=5, Config!$G$28,
          IF(U29=6, Config!$H$28,
            Config!$I$28
          )
        )
      )
    )
  )
)</f>
        <v>0</v>
      </c>
      <c r="X29" s="79">
        <f>IF(U29=1, Config!$C$29,
  IF(U29=2, Config!$D$29,
    IF(U29=3, Config!$E$29,
      IF(U29=4, Config!$F$29,
        IF(U29=5, Config!$G$29,
          IF(U29=6, Config!$H$29,
            Config!$I$29
          )
        )
      )
    )
  )
)</f>
        <v>0</v>
      </c>
      <c r="Y29" s="79">
        <f>IF(U29=1, Config!$C$30,
  IF(U29=2, Config!$D$30,
    IF(U29=3, Config!$E$30,
      IF(U29=4, Config!$F$30,
        IF(U29=5, Config!$G$30,
          IF(U29=6, Config!$H$30,
            Config!$I$30
          )
        )
      )
    )
  )
)</f>
        <v>0</v>
      </c>
      <c r="AA29" s="79" t="str">
        <f t="shared" si="0"/>
        <v/>
      </c>
      <c r="AB29" s="79" t="str">
        <f t="shared" si="1"/>
        <v/>
      </c>
      <c r="AC29" s="72"/>
      <c r="AD29" s="79" t="str">
        <f>IF(I29="","",
  IF(Config!$C$51=1, D29,
    IF(U29&lt;=2,
      (D29 - V29)*COS(RADIANS(AB29)) + (E29 - W29)*SIN(RADIANS(AB29)) + V29,
      IF(U29=3,
        ((D29 - V29)*COS(RADIANS(AB29)) + (E29 - W29)*SIN(RADIANS(AB29)))*COS(RADIANS(AA29))
        + (F29 - X29)*SIN(RADIANS(AA29)) + V29,
        IF(U29=4,
          (D29*COS(RADIANS(AB29)) + E29*SIN(RADIANS(AB29)) + V29) + Y29*SIN(RADIANS(AA29)),
          IF(U29=5,
            D29 + Y29*SIN(RADIANS(AA29))*COS(RADIANS(AB29)),
            IF(U29=6,
              (D29*COS(RADIANS(AB29)) + E29*SIN(RADIANS(AB29)) + V29)
              + Y29*SIN(RADIANS(AA29))*SIN(RADIANS(Config!$H$18)),
              COS(RADIANS(AA29)) * (((D29 - V29)*COS(RADIANS(AB29)) + (E29 - W29)*SIN(RADIANS(AB29))))
              + SIN(RADIANS(AA29)) * (
                Config!$C$16*(F29 - X29)
                - Config!$C$17*(-(D29 - V29)*SIN(RADIANS(AB29)) + (E29 - W29)*COS(RADIANS(AB29)))
              )
              + (1 - COS(RADIANS(AA29))) * (
                ((D29 - V29)*COS(RADIANS(AB29)) + (E29 - W29)*SIN(RADIANS(AB29)))*Config!$C$15
                + (-(D29 - V29)*SIN(RADIANS(AB29)) + (E29 - W29)*COS(RADIANS(AB29)))*Config!$C$16
                + (F29 - X29)*Config!$C$17
              ) * Config!$C$15
              + V29
            )
          )
        )
      )
    )
  )
)</f>
        <v/>
      </c>
      <c r="AE29" s="79" t="str">
        <f>IF(I29="","",
  IF(Config!$C$51=1, E29,
    IF(U29 &lt;= 2,
      (-(D29 - V29) * SIN(RADIANS(AB29)) + (E29 - W29) * COS(RADIANS(AB29))) * COS(RADIANS(AA29))
      + (F29 - X29) * SIN(RADIANS(AA29))
      + W29,
      IF(U29 = 3,
        (-(D29 - V29) * SIN(RADIANS(AB29)) + (E29 - W29) * COS(RADIANS(AB29)))
        + W29,
        IF(U29 = 4,
          -(D29) * SIN(RADIANS(AB29)) + (E29) * COS(RADIANS(AB29))
          + W29,
          IF(U29 = 5,
            E29 + Y29 * SIN(RADIANS(AA29)) * SIN(RADIANS(AB29)),
            IF(U29 = 6,
              (-(D29) * SIN(RADIANS(AB29)) + (E29) * COS(RADIANS(AB29)) + W29)
              + Y29 * (1 - COS(RADIANS(AA29))) * SIN(RADIANS(Config!$H$18)) * COS(RADIANS(Config!$H$18)),
              COS(RADIANS(AA29)) * (-(D29 - V29) * SIN(RADIANS(AB29)) + (E29 - W29) * COS(RADIANS(AB29)))
              + SIN(RADIANS(AA29)) * (
                Config!$C$17 * ((D29 - V29) * COS(RADIANS(AB29)) + (E29 - W29) * SIN(RADIANS(AB29)))
                - Config!$C$15 * (F29 - X29)
              )
              + (1 - COS(RADIANS(AA29))) * (
                ((D29 - V29) * COS(RADIANS(AB29)) + (E29 - W29) * SIN(RADIANS(AB29))) * Config!$C$15
                + (-(D29 - V29) * SIN(RADIANS(AB29)) + (E29 - W29) * COS(RADIANS(AB29))) * Config!$C$16
                + (F29 - X29) * Config!$C$17
              ) * Config!$C$16
              + W29
            )
          )
        )
      )
    )
  )
)</f>
        <v/>
      </c>
      <c r="AF29" s="79" t="str">
        <f>IF(I29="","",
  IF(Config!$C$51=1, F29,
    IF(U29 &lt;= 2,
      -((-(D29 - V29) * SIN(RADIANS(AB29)) + (E29 - W29) * COS(RADIANS(AB29)))) * SIN(RADIANS(AA29))
      + (F29 - X29) * COS(RADIANS(AA29))
      + X29,
      IF(U29 = 3,
        -(((D29 - V29) * COS(RADIANS(AB29)) + (E29 - W29) * SIN(RADIANS(AB29)))) * SIN(RADIANS(AA29))
        + (F29 - X29) * COS(RADIANS(AA29))
        + X29,
        IF(U29 = 4,
          (F29 + X29) - Y29 * (1 - COS(RADIANS(AA29))),
          IF(U29 = 5,
            F29 - Y29 * (1 - COS(RADIANS(AA29))),
            IF(U29 = 6,
              (F29 + X29) - Y29 * SIN(RADIANS(Config!$H$18)) * SIN(RADIANS(Config!$H$18)) * (1 - COS(RADIANS(AA29))),
              COS(RADIANS(AA29)) * (F29 - X29)
              + SIN(RADIANS(AA29)) * (
                Config!$C$15 * (-(D29 - V29) * SIN(RADIANS(AB29)) + (E29 - W29) * COS(RADIANS(AB29)))
                - Config!$C$16 * ((D29 - V29) * COS(RADIANS(AB29)) + (E29 - W29) * SIN(RADIANS(AB29)))
              )
              + (1 - COS(RADIANS(AA29))) * (
                ((D29 - V29) * COS(RADIANS(AB29)) + (E29 - W29) * SIN(RADIANS(AB29))) * Config!$C$15
                + (-(D29 - V29) * SIN(RADIANS(AB29)) + (E29 - W29) * COS(RADIANS(AB29))) * Config!$C$16
                + (F29 - X29) * Config!$C$17
              ) * Config!$C$17
              + X29
            )
          )
        )
      )
    )
  )
)</f>
        <v/>
      </c>
      <c r="AG29" s="72"/>
      <c r="AH29" s="96" t="str">
        <f>IF(I29="","",
  IF(OR(AA29="N/A", AA29=""),
    "N/A",
    IF(OR(
      AA29 &lt; IF(Config!$C$4=1,Config!$C$34,
        IF(Config!$C$4=2,Config!$D$34,
          IF(Config!$C$4=3,Config!$E$34,
            IF(Config!$C$4=4,Config!$F$34,
              IF(Config!$C$4=5,Config!$G$34,
                IF(Config!$C$4=6,Config!$H$34,Config!$I$34)
              )
            )
          )
        )
      ),
      AA29 &gt; IF(Config!$C$4=1,Config!$C$35,
        IF(Config!$C$4=2,Config!$D$35,
          IF(Config!$C$4=3,Config!$E$35,
            IF(Config!$C$4=4,Config!$F$35,
              IF(Config!$C$4=5,Config!$G$35,
                IF(Config!$C$4=6,Config!$H$35,Config!$I$35)
              )
            )
          )
        )
      )
    ),
    "⚠ OUT OF RANGE",
    "OK"
    )
  )
)</f>
        <v/>
      </c>
      <c r="AI29" s="96" t="str">
        <f>IF(I29="","",
  IF(OR(AB29="N/A", AB29=""),
    "N/A",
    IF(OR(
      AB29 &lt; IF(Config!$C$4=1,Config!$C$36,
        IF(Config!$C$4=2,Config!$D$36,
          IF(Config!$C$4=3,Config!$E$36,
            IF(Config!$C$4=4,Config!$F$36,
              IF(Config!$C$4=5,Config!$G$36,
                IF(Config!$C$4=6,Config!$H$36,Config!$I$36)
              )
            )
          )
        )
      ),
      AB29 &gt; IF(Config!$C$4=1,Config!$C$37,
        IF(Config!$C$4=2,Config!$D$37,
          IF(Config!$C$4=3,Config!$E$37,
            IF(Config!$C$4=4,Config!$F$37,
              IF(Config!$C$4=5,Config!$G$37,
                IF(Config!$C$4=6,Config!$H$37,Config!$I$37)
              )
            )
          )
        )
      )
    ),
    "⚠ OUT OF RANGE",
    "OK"
    )
  )
)</f>
        <v/>
      </c>
    </row>
    <row r="30" spans="1:35" ht="15" customHeight="1" x14ac:dyDescent="0.25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</row>
    <row r="31" spans="1:35" ht="15" customHeight="1" x14ac:dyDescent="0.25">
      <c r="A31" s="43"/>
      <c r="B31" s="94"/>
      <c r="C31" s="94" t="s">
        <v>311</v>
      </c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43"/>
      <c r="Q31" s="43"/>
      <c r="R31" s="43"/>
      <c r="S31" s="43"/>
      <c r="T31" s="43"/>
    </row>
    <row r="32" spans="1:35" x14ac:dyDescent="0.25">
      <c r="B32" s="93"/>
      <c r="C32" s="94" t="s">
        <v>313</v>
      </c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</row>
    <row r="33" spans="2:15" x14ac:dyDescent="0.25">
      <c r="B33" s="93"/>
      <c r="C33" s="94" t="s">
        <v>314</v>
      </c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</row>
    <row r="34" spans="2:15" x14ac:dyDescent="0.25">
      <c r="C34" s="94" t="s">
        <v>312</v>
      </c>
    </row>
    <row r="35" spans="2:15" x14ac:dyDescent="0.25">
      <c r="C35" s="94" t="s">
        <v>315</v>
      </c>
    </row>
    <row r="36" spans="2:15" x14ac:dyDescent="0.25">
      <c r="C36" s="94" t="s">
        <v>316</v>
      </c>
    </row>
    <row r="37" spans="2:15" x14ac:dyDescent="0.25">
      <c r="C37" s="94" t="s">
        <v>317</v>
      </c>
    </row>
    <row r="38" spans="2:15" x14ac:dyDescent="0.25">
      <c r="C38" s="94" t="s">
        <v>318</v>
      </c>
    </row>
  </sheetData>
  <mergeCells count="10">
    <mergeCell ref="B1:AI1"/>
    <mergeCell ref="B2:AI2"/>
    <mergeCell ref="AA3:AB3"/>
    <mergeCell ref="AD3:AF3"/>
    <mergeCell ref="AH3:AI3"/>
    <mergeCell ref="B3:I3"/>
    <mergeCell ref="K3:L3"/>
    <mergeCell ref="N3:P3"/>
    <mergeCell ref="R3:S3"/>
    <mergeCell ref="U3:Y3"/>
  </mergeCells>
  <conditionalFormatting sqref="AH5:AI29 R5:S29">
    <cfRule type="expression" dxfId="3" priority="2">
      <formula>R5="OK"</formula>
    </cfRule>
    <cfRule type="expression" dxfId="2" priority="3">
      <formula>AND(R5&lt;&gt;"",R5&lt;&gt;"OK")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Theory</vt:lpstr>
      <vt:lpstr>Config</vt:lpstr>
      <vt:lpstr>Calculator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Hakim Hisham</cp:lastModifiedBy>
  <cp:revision>0</cp:revision>
  <dcterms:created xsi:type="dcterms:W3CDTF">2026-06-13T09:10:42Z</dcterms:created>
  <dcterms:modified xsi:type="dcterms:W3CDTF">2026-06-17T23:15:50Z</dcterms:modified>
  <dc:language>en-US</dc:language>
</cp:coreProperties>
</file>